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pivotCache/pivotCacheRecords6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worksheets/sheet10.xml" ContentType="application/vnd.openxmlformats-officedocument.spreadsheetml.worksheet+xml"/>
  <Override PartName="/xl/pivotCache/pivotCacheDefinition6.xml" ContentType="application/vnd.openxmlformats-officedocument.spreadsheetml.pivotCacheDefinitio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7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charts/chart3.xml" ContentType="application/vnd.openxmlformats-officedocument.drawingml.chart+xml"/>
  <Override PartName="/xl/worksheets/sheet6.xml" ContentType="application/vnd.openxmlformats-officedocument.spreadsheetml.worksheet+xml"/>
  <Override PartName="/xl/pivotCache/pivotCacheDefinition3.xml" ContentType="application/vnd.openxmlformats-officedocument.spreadsheetml.pivotCacheDefinition+xml"/>
  <Override PartName="/xl/charts/colors2.xml" ContentType="application/vnd.ms-office.chartcolorstyle+xml"/>
  <Override PartName="/xl/pivotCache/pivotCacheRecords7.xml" ContentType="application/vnd.openxmlformats-officedocument.spreadsheetml.pivotCacheRecords+xml"/>
  <Override PartName="/xl/pivotTables/pivotTable5.xml" ContentType="application/vnd.openxmlformats-officedocument.spreadsheetml.pivotTable+xml"/>
  <Override PartName="/xl/charts/style2.xml" ContentType="application/vnd.ms-office.chartstyle+xml"/>
  <Override PartName="/xl/pivotCache/pivotCacheRecords1.xml" ContentType="application/vnd.openxmlformats-officedocument.spreadsheetml.pivotCacheRecords+xml"/>
  <Override PartName="/xl/charts/chart2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workbook.xml" ContentType="application/vnd.openxmlformats-officedocument.spreadsheetml.sheet.main+xml"/>
  <Override PartName="/xl/pivotTables/pivotTable7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1"/>
  <bookViews>
    <workbookView xWindow="360" yWindow="15" windowWidth="20955" windowHeight="9720" activeTab="0"/>
  </bookViews>
  <sheets>
    <sheet name="Factures 2025" sheetId="1" state="visible" r:id="rId8"/>
    <sheet name="Bilan 2025" sheetId="2" state="visible" r:id="rId9"/>
    <sheet name="Factures 2024" sheetId="3" state="visible" r:id="rId10"/>
    <sheet name="Bilan 2024" sheetId="4" state="visible" r:id="rId11"/>
    <sheet name="Factures 2022-2023" sheetId="5" state="visible" r:id="rId12"/>
    <sheet name="Bilan 2022-2023" sheetId="6" state="visible" r:id="rId13"/>
    <sheet name="Charges 2024" sheetId="7" state="visible" r:id="rId14"/>
    <sheet name="Prev" sheetId="8" state="visible" r:id="rId15"/>
    <sheet name="Détails1" sheetId="9" state="hidden" r:id="rId16"/>
    <sheet name="Salaries" sheetId="10" state="visible" r:id="rId17"/>
    <sheet name="Feuil1" sheetId="11" state="visible" r:id="rId18"/>
  </sheets>
  <definedNames>
    <definedName name="_xlnm._FilterDatabase" localSheetId="0" hidden="1">'Factures 2025'!$A$1:$L$158</definedName>
    <definedName name="_xlnm._FilterDatabase" localSheetId="2" hidden="1">'Factures 2024'!$A$1:$L$178</definedName>
    <definedName name="_xlnm._FilterDatabase" localSheetId="4" hidden="1">'Factures 2022-2023'!$A$1:$H$332</definedName>
    <definedName name="_xlnm._FilterDatabase" localSheetId="6" hidden="1">'Charges 2024'!$O$1:$O$643</definedName>
    <definedName name="_xlnm._FilterDatabase" localSheetId="7" hidden="1">Prev!$A$1:$F$145</definedName>
    <definedName name="_xlnm._FilterDatabase" localSheetId="0" hidden="1">'Factures 2025'!$A$1:$L$158</definedName>
    <definedName name="_xlnm._FilterDatabase" localSheetId="2" hidden="1">'Factures 2024'!$A$1:$L$178</definedName>
    <definedName name="_xlnm._FilterDatabase" localSheetId="4" hidden="1">'Factures 2022-2023'!$A$1:$H$332</definedName>
    <definedName name="_xlnm._FilterDatabase" localSheetId="6" hidden="1">'Charges 2024'!$O$1:$O$643</definedName>
    <definedName name="_xlnm._FilterDatabase" localSheetId="7" hidden="1">Prev!$A$1:$F$145</definedName>
  </definedNames>
  <calcPr/>
  <pivotCaches>
    <pivotCache cacheId="5" r:id="rId1"/>
    <pivotCache cacheId="4" r:id="rId2"/>
    <pivotCache cacheId="6" r:id="rId3"/>
    <pivotCache cacheId="0" r:id="rId4"/>
    <pivotCache cacheId="1" r:id="rId5"/>
    <pivotCache cacheId="2" r:id="rId6"/>
    <pivotCache cacheId="3" r:id="rId7"/>
  </pivotCaches>
</workbook>
</file>

<file path=xl/sharedStrings.xml><?xml version="1.0" encoding="utf-8"?>
<sst xmlns="http://schemas.openxmlformats.org/spreadsheetml/2006/main" count="1108" uniqueCount="1108">
  <si>
    <t>Date</t>
  </si>
  <si>
    <t>Client</t>
  </si>
  <si>
    <t>Salarié.e</t>
  </si>
  <si>
    <t xml:space="preserve">Numéro Facture</t>
  </si>
  <si>
    <t xml:space="preserve">Montant HT</t>
  </si>
  <si>
    <t>TVA</t>
  </si>
  <si>
    <t xml:space="preserve">Montant TTC</t>
  </si>
  <si>
    <t>Payée</t>
  </si>
  <si>
    <t xml:space="preserve">Jours facturés</t>
  </si>
  <si>
    <t>TJf</t>
  </si>
  <si>
    <t>Année</t>
  </si>
  <si>
    <t>Mois</t>
  </si>
  <si>
    <t>OpenClassrooms</t>
  </si>
  <si>
    <t>Gaetan</t>
  </si>
  <si>
    <t>F-2025-01-268</t>
  </si>
  <si>
    <t>oui</t>
  </si>
  <si>
    <t>GEMA</t>
  </si>
  <si>
    <t>Alison</t>
  </si>
  <si>
    <t>F-2025-01-269</t>
  </si>
  <si>
    <t>Simplon</t>
  </si>
  <si>
    <t>F-2025-01-270</t>
  </si>
  <si>
    <t>F-2025-01-271</t>
  </si>
  <si>
    <t xml:space="preserve">Elli Up</t>
  </si>
  <si>
    <t>F-2025-01-272</t>
  </si>
  <si>
    <t>F-2025-01-273</t>
  </si>
  <si>
    <t>F-2025-01-274</t>
  </si>
  <si>
    <t>Aleysia</t>
  </si>
  <si>
    <t>F-2025-01-275</t>
  </si>
  <si>
    <t>F-2025-02-276</t>
  </si>
  <si>
    <t>F-2025-02-277</t>
  </si>
  <si>
    <t>non</t>
  </si>
  <si>
    <t>F-2025-02-278</t>
  </si>
  <si>
    <t>F-2025-02-279</t>
  </si>
  <si>
    <t>F-2025-03-294</t>
  </si>
  <si>
    <t>WM</t>
  </si>
  <si>
    <t>F-2025-02-281</t>
  </si>
  <si>
    <t>F-2025-02-282</t>
  </si>
  <si>
    <t>Entropics</t>
  </si>
  <si>
    <t>F-2025-02-283</t>
  </si>
  <si>
    <t xml:space="preserve">GL events</t>
  </si>
  <si>
    <t>F-2025-02-284</t>
  </si>
  <si>
    <t>F-2025-02-285</t>
  </si>
  <si>
    <t>F-2025-03-286</t>
  </si>
  <si>
    <t>F-2025-03-287</t>
  </si>
  <si>
    <t>F-2025-03-288</t>
  </si>
  <si>
    <t>Sparks</t>
  </si>
  <si>
    <t>F-2025-03-289</t>
  </si>
  <si>
    <t>F-2025-03-290</t>
  </si>
  <si>
    <t>F-2025-03-293</t>
  </si>
  <si>
    <t>F-2025-03-295</t>
  </si>
  <si>
    <t xml:space="preserve">Albert School</t>
  </si>
  <si>
    <t>prev</t>
  </si>
  <si>
    <t>prosp</t>
  </si>
  <si>
    <t xml:space="preserve">Plouf SOGEV</t>
  </si>
  <si>
    <t xml:space="preserve">Plouf Altea</t>
  </si>
  <si>
    <t xml:space="preserve">Plouf ALBEDO</t>
  </si>
  <si>
    <t xml:space="preserve">Plouf INGEO</t>
  </si>
  <si>
    <t xml:space="preserve">Plouf Réunion</t>
  </si>
  <si>
    <t xml:space="preserve">Optim Ressources</t>
  </si>
  <si>
    <t xml:space="preserve">Plouf H8</t>
  </si>
  <si>
    <t xml:space="preserve">Sparks - AI900</t>
  </si>
  <si>
    <t xml:space="preserve">Sparks - schneider</t>
  </si>
  <si>
    <t>Nicolas</t>
  </si>
  <si>
    <t xml:space="preserve">Mission Gaetan</t>
  </si>
  <si>
    <t xml:space="preserve">Mission Nicolas</t>
  </si>
  <si>
    <t>Réel</t>
  </si>
  <si>
    <t>Prev</t>
  </si>
  <si>
    <t>Prospection</t>
  </si>
  <si>
    <t xml:space="preserve">2024 réel</t>
  </si>
  <si>
    <t xml:space="preserve">2025 estim</t>
  </si>
  <si>
    <t xml:space="preserve">2026 estim</t>
  </si>
  <si>
    <t xml:space="preserve">Total Recettes</t>
  </si>
  <si>
    <t>Salaires</t>
  </si>
  <si>
    <t>Primes</t>
  </si>
  <si>
    <t xml:space="preserve">Charges générales</t>
  </si>
  <si>
    <t xml:space="preserve">CA 2024</t>
  </si>
  <si>
    <t xml:space="preserve">Loyers SCI</t>
  </si>
  <si>
    <t>Divers</t>
  </si>
  <si>
    <t>Gaëtan</t>
  </si>
  <si>
    <t>Prestation</t>
  </si>
  <si>
    <t>JS</t>
  </si>
  <si>
    <t>Sous-traitance</t>
  </si>
  <si>
    <t xml:space="preserve">Facturé non payé</t>
  </si>
  <si>
    <t>HT</t>
  </si>
  <si>
    <t>WiiSmile</t>
  </si>
  <si>
    <t>TTC</t>
  </si>
  <si>
    <t xml:space="preserve">Cotisations sociales</t>
  </si>
  <si>
    <t xml:space="preserve">Taxe d'apprentissage</t>
  </si>
  <si>
    <t xml:space="preserve">Total Dépenses</t>
  </si>
  <si>
    <t>TR</t>
  </si>
  <si>
    <t xml:space="preserve">Charges globales</t>
  </si>
  <si>
    <t xml:space="preserve">Total dépenses</t>
  </si>
  <si>
    <t>Balance</t>
  </si>
  <si>
    <t xml:space="preserve">CA Alison</t>
  </si>
  <si>
    <t xml:space="preserve">CA Gaëtan</t>
  </si>
  <si>
    <t xml:space="preserve">CA Nicolas</t>
  </si>
  <si>
    <t xml:space="preserve">Jours réel</t>
  </si>
  <si>
    <t xml:space="preserve">TJ réel</t>
  </si>
  <si>
    <t>Vide</t>
  </si>
  <si>
    <t>2024-01-05-000151</t>
  </si>
  <si>
    <t>2024-01-06-000152</t>
  </si>
  <si>
    <t>EPSI</t>
  </si>
  <si>
    <t>2024-01-23-000157</t>
  </si>
  <si>
    <t>2024-01-23-000158</t>
  </si>
  <si>
    <t>2024-01-25-000159</t>
  </si>
  <si>
    <t>GCD</t>
  </si>
  <si>
    <t>2024-01-26-000160</t>
  </si>
  <si>
    <t>Vicinity</t>
  </si>
  <si>
    <t>2024-01-30-000161</t>
  </si>
  <si>
    <t>2024-01-31-000162</t>
  </si>
  <si>
    <t>2024-02-05-000163</t>
  </si>
  <si>
    <t>2024-02-05-000164</t>
  </si>
  <si>
    <t>2024-02-23-000165</t>
  </si>
  <si>
    <t>2024-02-26-000166</t>
  </si>
  <si>
    <t>2024-02-26-000167</t>
  </si>
  <si>
    <t>2024-02-26-000168</t>
  </si>
  <si>
    <t>2024-02-27-000169</t>
  </si>
  <si>
    <t>2024-02-28-000170</t>
  </si>
  <si>
    <t>2024-02-29-000171</t>
  </si>
  <si>
    <t>2024-03-05-000172</t>
  </si>
  <si>
    <t>2024-03-05-000173</t>
  </si>
  <si>
    <t>2024-03-08-000174</t>
  </si>
  <si>
    <t>2024-03-08-000175</t>
  </si>
  <si>
    <t>2024-03-13-000176</t>
  </si>
  <si>
    <t>2024-03-13-000177</t>
  </si>
  <si>
    <t>2024-03-22-000178</t>
  </si>
  <si>
    <t>2024-03-29-000179</t>
  </si>
  <si>
    <t>2024-03-29-000180</t>
  </si>
  <si>
    <t>2024-03-29-000181</t>
  </si>
  <si>
    <t>2024-04-06-000190</t>
  </si>
  <si>
    <t>2024-04-08-000191</t>
  </si>
  <si>
    <t>2024-04-19-000192</t>
  </si>
  <si>
    <t>2024-04-28-000193</t>
  </si>
  <si>
    <t>2024-04-28-000194</t>
  </si>
  <si>
    <t>2024-04-30-000195</t>
  </si>
  <si>
    <t>2024-05-06-000196</t>
  </si>
  <si>
    <t>2024-05-06-000197</t>
  </si>
  <si>
    <t>2024-05-26-000198</t>
  </si>
  <si>
    <t>2024-05-29-000199</t>
  </si>
  <si>
    <t>2024-05-31-000200</t>
  </si>
  <si>
    <t>2024-05-31-000201</t>
  </si>
  <si>
    <t>2024-06-04-000202</t>
  </si>
  <si>
    <t>2024-06-05-000203</t>
  </si>
  <si>
    <t>2024-06-05-000204</t>
  </si>
  <si>
    <t>2024-06-25-000207</t>
  </si>
  <si>
    <t>2024-06-25-000208</t>
  </si>
  <si>
    <t>2024-06-27-000209</t>
  </si>
  <si>
    <t>2024-06-28-000210</t>
  </si>
  <si>
    <t>2024-07-04-000211</t>
  </si>
  <si>
    <t>2024-07-05-000212</t>
  </si>
  <si>
    <t>2024-07-05-000213</t>
  </si>
  <si>
    <t>Malt</t>
  </si>
  <si>
    <t>2024-07-06-000214</t>
  </si>
  <si>
    <t>2024-07-12-000215</t>
  </si>
  <si>
    <t>2024-07-22-000216</t>
  </si>
  <si>
    <t>2024-07-24-000217</t>
  </si>
  <si>
    <t>2024-07-24-000218</t>
  </si>
  <si>
    <t>2024-07-24-000219</t>
  </si>
  <si>
    <t>2024-07-31-000220</t>
  </si>
  <si>
    <t>2024-08-20-000221</t>
  </si>
  <si>
    <t>2024-08-26-000222</t>
  </si>
  <si>
    <t>2024-08-27-000223</t>
  </si>
  <si>
    <t>2024-08-28-000224</t>
  </si>
  <si>
    <t>2024-08-28-000225</t>
  </si>
  <si>
    <t>2024-08-30-000226</t>
  </si>
  <si>
    <t>2024-09-05-000227</t>
  </si>
  <si>
    <t xml:space="preserve">Univ Paris 1</t>
  </si>
  <si>
    <t>2024-09-10-000228</t>
  </si>
  <si>
    <t>2024-09-13-000229</t>
  </si>
  <si>
    <t>2024-09-18-000230</t>
  </si>
  <si>
    <t>2024-09-19-000231</t>
  </si>
  <si>
    <t>2024-09-30-000232</t>
  </si>
  <si>
    <t>OnlyLyon</t>
  </si>
  <si>
    <t>2024-10-01-000233</t>
  </si>
  <si>
    <t>Lyria</t>
  </si>
  <si>
    <t>2024-10-01-000234</t>
  </si>
  <si>
    <t>2024-10-07-000235</t>
  </si>
  <si>
    <t>2024-10-10-000238</t>
  </si>
  <si>
    <t xml:space="preserve">RECTIF AVOIR</t>
  </si>
  <si>
    <t>2024-10-21-000239</t>
  </si>
  <si>
    <t>2024-10-24-000240</t>
  </si>
  <si>
    <t>2024-10-24-000241</t>
  </si>
  <si>
    <t>2024-10-30-000242</t>
  </si>
  <si>
    <t>2024-11-05-000243</t>
  </si>
  <si>
    <t>2024-11-07-000244</t>
  </si>
  <si>
    <t>Oreegami</t>
  </si>
  <si>
    <t>2024-11-18-000245</t>
  </si>
  <si>
    <t>2024-11-20-000246</t>
  </si>
  <si>
    <t>2024-11-20-000247</t>
  </si>
  <si>
    <t>2024-11-28-000248</t>
  </si>
  <si>
    <t>SEB</t>
  </si>
  <si>
    <t>2024-11-28-000249</t>
  </si>
  <si>
    <t>2024-11-28-000250</t>
  </si>
  <si>
    <t>2024-11-29-000251</t>
  </si>
  <si>
    <t>2024-12-02-000252</t>
  </si>
  <si>
    <t>2024-12-02-000253</t>
  </si>
  <si>
    <t>2024-12-05-000254</t>
  </si>
  <si>
    <t xml:space="preserve"> 2024-12-09-000257</t>
  </si>
  <si>
    <t>2024-12-09-000255</t>
  </si>
  <si>
    <t>2024-12-09-000256</t>
  </si>
  <si>
    <t xml:space="preserve"> 2024-12-11-000258</t>
  </si>
  <si>
    <t>2024-12-11-000259</t>
  </si>
  <si>
    <t>2024-12-13-000260</t>
  </si>
  <si>
    <t>2024-12-16-000261</t>
  </si>
  <si>
    <t>2024-12-18-000262</t>
  </si>
  <si>
    <t>2024-12-18-000263</t>
  </si>
  <si>
    <t>2024-12-19-000264</t>
  </si>
  <si>
    <t>2024-12-20-000266</t>
  </si>
  <si>
    <t>2024-12-20-000265</t>
  </si>
  <si>
    <t>2024-12-24-000267</t>
  </si>
  <si>
    <t>Objectif</t>
  </si>
  <si>
    <t xml:space="preserve">Prime exceptionnelle</t>
  </si>
  <si>
    <t xml:space="preserve">Somme de Montant HT</t>
  </si>
  <si>
    <t xml:space="preserve">Étiquettes de colonnes</t>
  </si>
  <si>
    <t xml:space="preserve">Etiquettes de ligne</t>
  </si>
  <si>
    <t xml:space="preserve">Total général</t>
  </si>
  <si>
    <t>Alternant</t>
  </si>
  <si>
    <t>TJ</t>
  </si>
  <si>
    <t>Embauche</t>
  </si>
  <si>
    <t>2024</t>
  </si>
  <si>
    <t>Trim1</t>
  </si>
  <si>
    <t xml:space="preserve">CA équilibre mensuel</t>
  </si>
  <si>
    <t>janv.</t>
  </si>
  <si>
    <t xml:space="preserve">N mois restants</t>
  </si>
  <si>
    <t>févr.</t>
  </si>
  <si>
    <t>mars</t>
  </si>
  <si>
    <t>Trim2</t>
  </si>
  <si>
    <t>avr.</t>
  </si>
  <si>
    <t>(vide)</t>
  </si>
  <si>
    <t>mai</t>
  </si>
  <si>
    <t>juin</t>
  </si>
  <si>
    <t>Trim3</t>
  </si>
  <si>
    <t>juil.</t>
  </si>
  <si>
    <t>Recrutement</t>
  </si>
  <si>
    <t>août</t>
  </si>
  <si>
    <t>sept.</t>
  </si>
  <si>
    <t>Trim4</t>
  </si>
  <si>
    <t>oct.</t>
  </si>
  <si>
    <t>nov.</t>
  </si>
  <si>
    <t>déc.</t>
  </si>
  <si>
    <t xml:space="preserve">Ecart Objectif</t>
  </si>
  <si>
    <t xml:space="preserve">Ecart cumulé</t>
  </si>
  <si>
    <t>Total</t>
  </si>
  <si>
    <t xml:space="preserve">CA Janvier</t>
  </si>
  <si>
    <t xml:space="preserve">CA Février</t>
  </si>
  <si>
    <t xml:space="preserve">CA Mars</t>
  </si>
  <si>
    <t xml:space="preserve">CA Avril</t>
  </si>
  <si>
    <t xml:space="preserve">CA Mai</t>
  </si>
  <si>
    <t xml:space="preserve">CA Juin</t>
  </si>
  <si>
    <t xml:space="preserve">CA Juillet</t>
  </si>
  <si>
    <t xml:space="preserve">CA Août</t>
  </si>
  <si>
    <t xml:space="preserve">CA Septembre</t>
  </si>
  <si>
    <t xml:space="preserve">CA Octobre</t>
  </si>
  <si>
    <t xml:space="preserve">CA Novembre</t>
  </si>
  <si>
    <t xml:space="preserve">CA Décembre</t>
  </si>
  <si>
    <t>Salaire</t>
  </si>
  <si>
    <t>Charges</t>
  </si>
  <si>
    <t>CA</t>
  </si>
  <si>
    <t xml:space="preserve"> </t>
  </si>
  <si>
    <t>Projection</t>
  </si>
  <si>
    <t>Previsionnel</t>
  </si>
  <si>
    <t>Ventes</t>
  </si>
  <si>
    <t>Personnel</t>
  </si>
  <si>
    <t>Achats</t>
  </si>
  <si>
    <t>Solde</t>
  </si>
  <si>
    <t>Bénéfices</t>
  </si>
  <si>
    <t>Réserve</t>
  </si>
  <si>
    <t>Travail</t>
  </si>
  <si>
    <t>Dividendes</t>
  </si>
  <si>
    <t xml:space="preserve">Moyenne associé</t>
  </si>
  <si>
    <t>IS</t>
  </si>
  <si>
    <t xml:space="preserve">Flat Tax</t>
  </si>
  <si>
    <t xml:space="preserve">Sans </t>
  </si>
  <si>
    <t>Cotisations</t>
  </si>
  <si>
    <t>accord</t>
  </si>
  <si>
    <t xml:space="preserve">Evol benef</t>
  </si>
  <si>
    <t xml:space="preserve">Digital Campus</t>
  </si>
  <si>
    <t>2022-11-28-000012</t>
  </si>
  <si>
    <t>2022-11-30-000013</t>
  </si>
  <si>
    <t>2022-11-30-000014</t>
  </si>
  <si>
    <t>2022-11-30-000020</t>
  </si>
  <si>
    <t>2022-12-01-000015</t>
  </si>
  <si>
    <t>2022-12-04-000016</t>
  </si>
  <si>
    <t>2022-12-05-000017</t>
  </si>
  <si>
    <t>2022-12-05-000018</t>
  </si>
  <si>
    <t>2022-12-06-000019</t>
  </si>
  <si>
    <t>PLB</t>
  </si>
  <si>
    <t>2022-12-20-000021</t>
  </si>
  <si>
    <t>2022-12-20-000022</t>
  </si>
  <si>
    <t>2022-12-20-000025</t>
  </si>
  <si>
    <t>2022-12-22-000023</t>
  </si>
  <si>
    <t>2022-12-22-000024</t>
  </si>
  <si>
    <t>2022-12-24-000026</t>
  </si>
  <si>
    <t>2023-01-01-000027</t>
  </si>
  <si>
    <t>2023-01-01-000029</t>
  </si>
  <si>
    <t>2023-01-06-000028</t>
  </si>
  <si>
    <t>2023-01-20-000030</t>
  </si>
  <si>
    <t>2023-01-30-000031</t>
  </si>
  <si>
    <t>2023-01-30-000032</t>
  </si>
  <si>
    <t>2023-01-30-000033</t>
  </si>
  <si>
    <t>2023-01-31-000034</t>
  </si>
  <si>
    <t>2023-02-03-000035</t>
  </si>
  <si>
    <t>2023-02-03-000036</t>
  </si>
  <si>
    <t>2023-02-03-000037</t>
  </si>
  <si>
    <t>2023-02-23-000038</t>
  </si>
  <si>
    <t>2023-02-23-000039</t>
  </si>
  <si>
    <t>2023-02-27-000040</t>
  </si>
  <si>
    <t>2023-02-28-000041</t>
  </si>
  <si>
    <t>2023-03-02-000042</t>
  </si>
  <si>
    <t>2023-03-05-000043</t>
  </si>
  <si>
    <t>2023-03-06-000044</t>
  </si>
  <si>
    <t>2023-03-06-000045</t>
  </si>
  <si>
    <t>2023-03-07-000046</t>
  </si>
  <si>
    <t>2023-03-07-000047</t>
  </si>
  <si>
    <t>2023-03-17-000048</t>
  </si>
  <si>
    <t>2023-03-22-000049</t>
  </si>
  <si>
    <t>2023-03-22-000050</t>
  </si>
  <si>
    <t>2023-03-27-000051</t>
  </si>
  <si>
    <t>2023-03-29-000052</t>
  </si>
  <si>
    <t>2023-03-29-000053</t>
  </si>
  <si>
    <t>2023-03-29-000054</t>
  </si>
  <si>
    <t>2023-03-31-000055</t>
  </si>
  <si>
    <t>2023-03-31-000056</t>
  </si>
  <si>
    <t>2023-04-05-000057</t>
  </si>
  <si>
    <t>2023-04-06-000058</t>
  </si>
  <si>
    <t>2023-04-24-000059</t>
  </si>
  <si>
    <t>2023-04-25-000060</t>
  </si>
  <si>
    <t>2023-04-25-000061</t>
  </si>
  <si>
    <t>2023-04-26-000062</t>
  </si>
  <si>
    <t>2023-04-26-000063</t>
  </si>
  <si>
    <t>2023-04-27-000064</t>
  </si>
  <si>
    <t>2023-04-28-000065</t>
  </si>
  <si>
    <t>2023-05-03-000066</t>
  </si>
  <si>
    <t>2023-05-05-000067</t>
  </si>
  <si>
    <t>2023-05-11-000068</t>
  </si>
  <si>
    <t>2023-05-16-000069</t>
  </si>
  <si>
    <t>2023-05-22-000070</t>
  </si>
  <si>
    <t>2023-05-22-000071</t>
  </si>
  <si>
    <t>2023-05-26-000072</t>
  </si>
  <si>
    <t>2023-05-26-000073</t>
  </si>
  <si>
    <t>2023-05-30-000074</t>
  </si>
  <si>
    <t>C-Libre</t>
  </si>
  <si>
    <t>2023-05-31-000075</t>
  </si>
  <si>
    <t>2023-05-31-000076</t>
  </si>
  <si>
    <t>2023-05-31-000077</t>
  </si>
  <si>
    <t>2023-06-05-000078</t>
  </si>
  <si>
    <t>2023-06-05-000079</t>
  </si>
  <si>
    <t>2023-06-05-000080</t>
  </si>
  <si>
    <t>2023-06-05-000083</t>
  </si>
  <si>
    <t>2023-06-09-000081</t>
  </si>
  <si>
    <t>2023-06-16-000082</t>
  </si>
  <si>
    <t>2023-06-23-000084</t>
  </si>
  <si>
    <t>2023-06-26-000085</t>
  </si>
  <si>
    <t>2023-06-26-000086</t>
  </si>
  <si>
    <t>2023-06-26-000087</t>
  </si>
  <si>
    <t>2023-06-30-000088</t>
  </si>
  <si>
    <t>2023-06-30-000089</t>
  </si>
  <si>
    <t>2023-06-30-000090</t>
  </si>
  <si>
    <t>2023-07-05-000091</t>
  </si>
  <si>
    <t>2023-07-05-000092</t>
  </si>
  <si>
    <t>2023-07-05-000093</t>
  </si>
  <si>
    <t>2023-07-07-000094</t>
  </si>
  <si>
    <t>2023-07-21-000095</t>
  </si>
  <si>
    <t>2023-07-21-000096</t>
  </si>
  <si>
    <t>2023-07-31-000097</t>
  </si>
  <si>
    <t>Widip</t>
  </si>
  <si>
    <t>2023-07-31-000098</t>
  </si>
  <si>
    <t>Eliana</t>
  </si>
  <si>
    <t>2023-08-05-000099</t>
  </si>
  <si>
    <t>2023-08-05-000100</t>
  </si>
  <si>
    <t>2023-08-14-000101</t>
  </si>
  <si>
    <t>2023-08-30-000102</t>
  </si>
  <si>
    <t>2023-08-30-000103</t>
  </si>
  <si>
    <t>2023-08-31-000104</t>
  </si>
  <si>
    <t>2023-09-01-000105</t>
  </si>
  <si>
    <t>2023-09-05-000106</t>
  </si>
  <si>
    <t>2023-09-05-000107</t>
  </si>
  <si>
    <t>2023-09-26-000108</t>
  </si>
  <si>
    <t>ok</t>
  </si>
  <si>
    <t>2023-09-26-000109</t>
  </si>
  <si>
    <t>2023-09-27-000110</t>
  </si>
  <si>
    <t>2023-09-30-000111</t>
  </si>
  <si>
    <t>2023-10-03-000112</t>
  </si>
  <si>
    <t>2023-10-05-000113</t>
  </si>
  <si>
    <t>2023-10-06-000114</t>
  </si>
  <si>
    <t>GTech</t>
  </si>
  <si>
    <t>2023-10-12-000115</t>
  </si>
  <si>
    <t>2023-10-15-000116</t>
  </si>
  <si>
    <t>2023-10-25-000117</t>
  </si>
  <si>
    <t xml:space="preserve">TGV Lyria</t>
  </si>
  <si>
    <t>2023-10-25-000118</t>
  </si>
  <si>
    <t>2023-10-25-000119</t>
  </si>
  <si>
    <t>2023-10-27-000120</t>
  </si>
  <si>
    <t>novembre</t>
  </si>
  <si>
    <t>2023-10-27-000121</t>
  </si>
  <si>
    <t>2023-11-07-000122</t>
  </si>
  <si>
    <t>2023-11-07-000123</t>
  </si>
  <si>
    <t>2023-11-23-000124</t>
  </si>
  <si>
    <t>2023-11-24-000125</t>
  </si>
  <si>
    <t>2023-11-24-000126</t>
  </si>
  <si>
    <t>2023-11-29-000127</t>
  </si>
  <si>
    <t>2023-11-30-000128</t>
  </si>
  <si>
    <t>2023-12-05-000129</t>
  </si>
  <si>
    <t>2023-12-05-000130</t>
  </si>
  <si>
    <t>2023-12-15-000131</t>
  </si>
  <si>
    <t>2023-12-15-000132</t>
  </si>
  <si>
    <t>2023-12-20-000133</t>
  </si>
  <si>
    <t>2023-12-20-000134</t>
  </si>
  <si>
    <t>2023-12-20-000135</t>
  </si>
  <si>
    <t>2023-12-22-000136</t>
  </si>
  <si>
    <t>2023-12-22-000137</t>
  </si>
  <si>
    <t>2023-12-22-000153</t>
  </si>
  <si>
    <t>janvier</t>
  </si>
  <si>
    <t xml:space="preserve">Payé 2022-2023</t>
  </si>
  <si>
    <t xml:space="preserve">CA prev à faire</t>
  </si>
  <si>
    <t xml:space="preserve">Impayé 2022-2023</t>
  </si>
  <si>
    <t xml:space="preserve">CA réel</t>
  </si>
  <si>
    <t xml:space="preserve">2 mois de salaires + charges</t>
  </si>
  <si>
    <t xml:space="preserve">Impayé TTC</t>
  </si>
  <si>
    <t xml:space="preserve">Taux réalisé</t>
  </si>
  <si>
    <t xml:space="preserve">Taux prev</t>
  </si>
  <si>
    <t>2022</t>
  </si>
  <si>
    <t xml:space="preserve">CA 2022-2023</t>
  </si>
  <si>
    <t xml:space="preserve">CA prev total</t>
  </si>
  <si>
    <t>min</t>
  </si>
  <si>
    <t>max</t>
  </si>
  <si>
    <t xml:space="preserve">avec recrutement</t>
  </si>
  <si>
    <t xml:space="preserve">Taux payé</t>
  </si>
  <si>
    <t>Bénéfice</t>
  </si>
  <si>
    <t xml:space="preserve">Nb de salariés</t>
  </si>
  <si>
    <t>Structure</t>
  </si>
  <si>
    <t xml:space="preserve">N factures payées</t>
  </si>
  <si>
    <t xml:space="preserve">N factures non payées</t>
  </si>
  <si>
    <t xml:space="preserve">CA recrutement 6mois</t>
  </si>
  <si>
    <t>2023</t>
  </si>
  <si>
    <t xml:space="preserve">N factures restantes</t>
  </si>
  <si>
    <t>Soc</t>
  </si>
  <si>
    <t xml:space="preserve">Salaire +</t>
  </si>
  <si>
    <t xml:space="preserve">avec Recrutement</t>
  </si>
  <si>
    <t xml:space="preserve">Etude et prestations de service</t>
  </si>
  <si>
    <t xml:space="preserve">fournitures bureau</t>
  </si>
  <si>
    <t>Déplacements</t>
  </si>
  <si>
    <t xml:space="preserve">Services bancaires</t>
  </si>
  <si>
    <t>mission/réception</t>
  </si>
  <si>
    <t>téléphone/courrier</t>
  </si>
  <si>
    <t>marketing/publicité</t>
  </si>
  <si>
    <t>Associé</t>
  </si>
  <si>
    <t>honoraires</t>
  </si>
  <si>
    <t>cotisations</t>
  </si>
  <si>
    <t xml:space="preserve">loyer, charges, taxe foncière</t>
  </si>
  <si>
    <t>assurances</t>
  </si>
  <si>
    <t>divers</t>
  </si>
  <si>
    <t xml:space="preserve">prêt socoden</t>
  </si>
  <si>
    <t xml:space="preserve">prêt nef</t>
  </si>
  <si>
    <t>Investissement</t>
  </si>
  <si>
    <t>Participation</t>
  </si>
  <si>
    <t xml:space="preserve">Total Alison</t>
  </si>
  <si>
    <t xml:space="preserve">Total Gaëtan</t>
  </si>
  <si>
    <t>Poste</t>
  </si>
  <si>
    <t xml:space="preserve">Neg 2023</t>
  </si>
  <si>
    <t xml:space="preserve">Pos 2023</t>
  </si>
  <si>
    <t xml:space="preserve">2023 réel</t>
  </si>
  <si>
    <t xml:space="preserve">2024 estim</t>
  </si>
  <si>
    <t xml:space="preserve">Edition des Grands-Livres</t>
  </si>
  <si>
    <t>Deplacement</t>
  </si>
  <si>
    <t>Pièce</t>
  </si>
  <si>
    <t>Journal</t>
  </si>
  <si>
    <t>Libellé</t>
  </si>
  <si>
    <t>Débit</t>
  </si>
  <si>
    <t>Lettrage</t>
  </si>
  <si>
    <t>Crédit</t>
  </si>
  <si>
    <t>Reception</t>
  </si>
  <si>
    <t xml:space="preserve">Compte n°604000</t>
  </si>
  <si>
    <t xml:space="preserve">Achats études et prest.serv.</t>
  </si>
  <si>
    <t>AC</t>
  </si>
  <si>
    <t xml:space="preserve">ORKUN consultation en informatique</t>
  </si>
  <si>
    <t>Tel</t>
  </si>
  <si>
    <t xml:space="preserve">Frais prets</t>
  </si>
  <si>
    <t>202408-1</t>
  </si>
  <si>
    <t xml:space="preserve">ALEXIS PEREZ EI génération logo de chats</t>
  </si>
  <si>
    <t xml:space="preserve">Frais banque</t>
  </si>
  <si>
    <t>202408-2</t>
  </si>
  <si>
    <t xml:space="preserve">ALEXIS PEREZ EI création model IA de recommandatio</t>
  </si>
  <si>
    <t>URSCOP</t>
  </si>
  <si>
    <t>202409-5</t>
  </si>
  <si>
    <t xml:space="preserve">Alexis PEREZ EI crédation IA de reco GL EVENT</t>
  </si>
  <si>
    <t xml:space="preserve">Compte n° 606300</t>
  </si>
  <si>
    <t xml:space="preserve">Petits équipements</t>
  </si>
  <si>
    <t xml:space="preserve">NDF GCO 01 2024 souris</t>
  </si>
  <si>
    <t xml:space="preserve">NDF GCO 01 2024 clavier ducky</t>
  </si>
  <si>
    <t xml:space="preserve">Interet Prets</t>
  </si>
  <si>
    <t xml:space="preserve">NDF GCO 10.2024 - DARTY prises CPL</t>
  </si>
  <si>
    <t>Presta</t>
  </si>
  <si>
    <t>Honoraires</t>
  </si>
  <si>
    <t xml:space="preserve">Compte n° 613200</t>
  </si>
  <si>
    <t xml:space="preserve">Locations salles liées à la formation</t>
  </si>
  <si>
    <t>Commissions</t>
  </si>
  <si>
    <t>LYO04101FACLI110</t>
  </si>
  <si>
    <t xml:space="preserve">WOJO bureau nomade</t>
  </si>
  <si>
    <t>Velos</t>
  </si>
  <si>
    <t>LYO04102FACLI111</t>
  </si>
  <si>
    <t xml:space="preserve">Domaine web</t>
  </si>
  <si>
    <t>LYO04103FACLI120</t>
  </si>
  <si>
    <t xml:space="preserve">Location salle</t>
  </si>
  <si>
    <t xml:space="preserve">Maitenance info</t>
  </si>
  <si>
    <t xml:space="preserve">NDF PATOU - Location salle réunion</t>
  </si>
  <si>
    <t xml:space="preserve">Doc technique</t>
  </si>
  <si>
    <t xml:space="preserve">Rémun. interm. et honoraires</t>
  </si>
  <si>
    <t xml:space="preserve">Compte n° 613500</t>
  </si>
  <si>
    <t xml:space="preserve">Locations domaine</t>
  </si>
  <si>
    <t xml:space="preserve">frais d'actes</t>
  </si>
  <si>
    <t>2312-RCHP-000005</t>
  </si>
  <si>
    <t>ODI</t>
  </si>
  <si>
    <t xml:space="preserve">Ext.CCA - OVH domaine scopa.co 31/03/23-&gt;16/10/24</t>
  </si>
  <si>
    <t xml:space="preserve">Sous traitance</t>
  </si>
  <si>
    <t xml:space="preserve">Ext.CCA - NDF CONSTANT 11 2023 VPS ELITE 28/11/23-</t>
  </si>
  <si>
    <t xml:space="preserve">Location tel</t>
  </si>
  <si>
    <t xml:space="preserve">NDF GCO 10.2024 - OVH renouvellement scopa.co</t>
  </si>
  <si>
    <t xml:space="preserve">Frais Malt</t>
  </si>
  <si>
    <t xml:space="preserve">Compte n° 613510</t>
  </si>
  <si>
    <t xml:space="preserve">Locations vélo</t>
  </si>
  <si>
    <t xml:space="preserve">Charges locaux</t>
  </si>
  <si>
    <t xml:space="preserve">TUTTUT location vélo 01/2024</t>
  </si>
  <si>
    <t xml:space="preserve">TUTTUT location vélo 02 2024</t>
  </si>
  <si>
    <t>mois</t>
  </si>
  <si>
    <t xml:space="preserve">TUTTUT location vélo 03 2024</t>
  </si>
  <si>
    <t>Estim</t>
  </si>
  <si>
    <t xml:space="preserve">TUTTUT location vélo 04 2024</t>
  </si>
  <si>
    <t xml:space="preserve">TUTTUT location vélo 05 2024</t>
  </si>
  <si>
    <t>BQ</t>
  </si>
  <si>
    <t xml:space="preserve">TUTTUT location vélo 06 2024</t>
  </si>
  <si>
    <t>OD</t>
  </si>
  <si>
    <t xml:space="preserve">TUTTUT location vélo 07 2024</t>
  </si>
  <si>
    <t>PA</t>
  </si>
  <si>
    <t>F00000458</t>
  </si>
  <si>
    <t xml:space="preserve">TUTTUT location vélo 08 2024</t>
  </si>
  <si>
    <t>VT</t>
  </si>
  <si>
    <t xml:space="preserve">TUTTUT location vélo 09 2024</t>
  </si>
  <si>
    <t xml:space="preserve">TUTTUT location vélos 10.2024</t>
  </si>
  <si>
    <t xml:space="preserve">Total à date</t>
  </si>
  <si>
    <t xml:space="preserve">Solde à date</t>
  </si>
  <si>
    <t xml:space="preserve">Compte n° 613520</t>
  </si>
  <si>
    <t xml:space="preserve">Locations ordinateurs</t>
  </si>
  <si>
    <t xml:space="preserve">Avec prime</t>
  </si>
  <si>
    <t xml:space="preserve">COMMOWN mensualité 01/2024</t>
  </si>
  <si>
    <t xml:space="preserve">COMMOWN mensualité 02 2024</t>
  </si>
  <si>
    <t xml:space="preserve">COMMOWN mensualité 03 2024</t>
  </si>
  <si>
    <t>VERIF</t>
  </si>
  <si>
    <t xml:space="preserve">COMMOWN mensualité 04/2024</t>
  </si>
  <si>
    <t xml:space="preserve">Total Classe 6</t>
  </si>
  <si>
    <t xml:space="preserve">COMMOWN mensualité 05/2024</t>
  </si>
  <si>
    <t xml:space="preserve">Total Classe 7</t>
  </si>
  <si>
    <t xml:space="preserve">COMMOWN location ordinateur</t>
  </si>
  <si>
    <t xml:space="preserve">COMMOWN location 3 ordinateurs 07 2024</t>
  </si>
  <si>
    <t>FAC/240825604</t>
  </si>
  <si>
    <t xml:space="preserve">COMMOWN Location ordinateur 08 2024</t>
  </si>
  <si>
    <t>TOTAL</t>
  </si>
  <si>
    <t xml:space="preserve">COMMOWN Location ordinateur 09 2024</t>
  </si>
  <si>
    <t>Qualiopi</t>
  </si>
  <si>
    <t xml:space="preserve">COMMOWN - Location ordi 10.2024</t>
  </si>
  <si>
    <t xml:space="preserve">Presta Alexis P GL Events</t>
  </si>
  <si>
    <t xml:space="preserve">Presta Alexis P Cats</t>
  </si>
  <si>
    <t xml:space="preserve">Compte n° 615600</t>
  </si>
  <si>
    <t xml:space="preserve">Maintenance informatique</t>
  </si>
  <si>
    <t xml:space="preserve">Presta Orkun</t>
  </si>
  <si>
    <t xml:space="preserve">Ext.CCA - NDF 08 2023 APA Abo Microsoft 16/08/23-&gt;</t>
  </si>
  <si>
    <t xml:space="preserve">HABILE abo service numérique Cloud 117</t>
  </si>
  <si>
    <t xml:space="preserve">Kahoot logiciel d'apprentissage 18/06/24-&gt;18/05/25</t>
  </si>
  <si>
    <t xml:space="preserve">NDF GCO 07 2024 Abo OpenIA</t>
  </si>
  <si>
    <t xml:space="preserve">NDF GCO 10.2024 -abo Proton AG</t>
  </si>
  <si>
    <t xml:space="preserve">Compte n° 616000</t>
  </si>
  <si>
    <t xml:space="preserve">Primes d'assurance</t>
  </si>
  <si>
    <t>2312-RCHP-000006</t>
  </si>
  <si>
    <t xml:space="preserve">Ext.CCA - STELLO assurance civile pro 05/09/2023-&gt;</t>
  </si>
  <si>
    <t xml:space="preserve">Ext.CCA - NDF APA 10 2023 assuranc stello 02/01/24</t>
  </si>
  <si>
    <t>66D3B8585FB76</t>
  </si>
  <si>
    <t xml:space="preserve">STELLO assurance civile pro 01/09/24 - 31/08/25</t>
  </si>
  <si>
    <t xml:space="preserve">Compte n° 618300</t>
  </si>
  <si>
    <t xml:space="preserve">Documentation technique</t>
  </si>
  <si>
    <t xml:space="preserve">NDF GCO 06 2024 Hors serie Havard Review IA</t>
  </si>
  <si>
    <t xml:space="preserve">Compte n° 622200</t>
  </si>
  <si>
    <t xml:space="preserve">Commission et courtage sur ventes</t>
  </si>
  <si>
    <t xml:space="preserve">SWILE ticket restaurant 01/2024</t>
  </si>
  <si>
    <t xml:space="preserve">SWILE ticket restaurant 02 2024</t>
  </si>
  <si>
    <t xml:space="preserve">SWILE ticket restaurant 03 2024</t>
  </si>
  <si>
    <t xml:space="preserve">SWILE ticket restaurant 04 2024</t>
  </si>
  <si>
    <t>2024-005</t>
  </si>
  <si>
    <t xml:space="preserve">SWILE - ticket restaurant 05/2024</t>
  </si>
  <si>
    <t>MFEZ-2024-006</t>
  </si>
  <si>
    <t xml:space="preserve">SWILE rechargement ticket restaurant</t>
  </si>
  <si>
    <t>MFEZ-2024-007</t>
  </si>
  <si>
    <t xml:space="preserve">SWILE ticket restaurant</t>
  </si>
  <si>
    <t xml:space="preserve">MALT commission malt veille pour génération images</t>
  </si>
  <si>
    <t xml:space="preserve">MALT commission mini appli pour générer des images</t>
  </si>
  <si>
    <t>2024-008</t>
  </si>
  <si>
    <t>INV-MFEZ-2024-09</t>
  </si>
  <si>
    <t>2024-010</t>
  </si>
  <si>
    <t>MV-INV-MFEZ-2024</t>
  </si>
  <si>
    <t xml:space="preserve">SWILE - tickets resto 10.2024</t>
  </si>
  <si>
    <t xml:space="preserve">Compte n° 622600</t>
  </si>
  <si>
    <t xml:space="preserve">Honoraires comptable</t>
  </si>
  <si>
    <t>VIL060584</t>
  </si>
  <si>
    <t xml:space="preserve">ODICEO presta compta acompte N°1</t>
  </si>
  <si>
    <t>VIL062224</t>
  </si>
  <si>
    <t xml:space="preserve">ODICEO 2 777 + regul hono 31 12 2023</t>
  </si>
  <si>
    <t>VIL062390</t>
  </si>
  <si>
    <t xml:space="preserve">ODICEO acompte presta compta N°2</t>
  </si>
  <si>
    <t>VIL064669</t>
  </si>
  <si>
    <t xml:space="preserve">ODICEO acompte N° 3 2024</t>
  </si>
  <si>
    <t>VIL065956</t>
  </si>
  <si>
    <t xml:space="preserve">ODICEO - Acompte compta n°4</t>
  </si>
  <si>
    <t xml:space="preserve">Compte n° 622620</t>
  </si>
  <si>
    <t xml:space="preserve">Honoraires révision coopérative</t>
  </si>
  <si>
    <t>FNP</t>
  </si>
  <si>
    <t xml:space="preserve">révision SCOP</t>
  </si>
  <si>
    <t>2024/03/1240</t>
  </si>
  <si>
    <t xml:space="preserve">AUREV révision coopérative 31/12/2023</t>
  </si>
  <si>
    <t xml:space="preserve">Compte n° 622630</t>
  </si>
  <si>
    <t xml:space="preserve">Honoraires divers</t>
  </si>
  <si>
    <t>FC2413815</t>
  </si>
  <si>
    <t xml:space="preserve">QUALITIA certification QUALIOPI</t>
  </si>
  <si>
    <t>FA2407-0442</t>
  </si>
  <si>
    <t xml:space="preserve">OPENS accompagnement certif QUALIOPI</t>
  </si>
  <si>
    <t>FC2416500</t>
  </si>
  <si>
    <t xml:space="preserve">QUALITIA certification QUALIOPI audit</t>
  </si>
  <si>
    <t xml:space="preserve">Compte n° 623400</t>
  </si>
  <si>
    <t xml:space="preserve">Cadeaux à la clientèle</t>
  </si>
  <si>
    <t xml:space="preserve">Vins Bulliat Daniel Régis</t>
  </si>
  <si>
    <t xml:space="preserve">Compte n° 625100</t>
  </si>
  <si>
    <t xml:space="preserve">Frais de déplacement</t>
  </si>
  <si>
    <t xml:space="preserve">NDF ECU 01 2024 ticket TCL</t>
  </si>
  <si>
    <t xml:space="preserve">NDF APA 01 2024 IK</t>
  </si>
  <si>
    <t xml:space="preserve">NDF GCO 01 2024 repas</t>
  </si>
  <si>
    <t xml:space="preserve">NDF GCO 01 2024 abo e-velov</t>
  </si>
  <si>
    <t xml:space="preserve">NDF GCO 01 2024 abo telephone</t>
  </si>
  <si>
    <t xml:space="preserve">NDF GCO 01 2024 abo SNCF</t>
  </si>
  <si>
    <t xml:space="preserve">NDF GCO 01 2024 afterwork</t>
  </si>
  <si>
    <t xml:space="preserve">NDF GCO 01 2024 ticket TCL</t>
  </si>
  <si>
    <t xml:space="preserve">NDF ECU 02 2024 ticket TCL</t>
  </si>
  <si>
    <t xml:space="preserve">NDF APA 02 2024 IK</t>
  </si>
  <si>
    <t xml:space="preserve">NDF GCO 02 2024 abo e-velov</t>
  </si>
  <si>
    <t xml:space="preserve">NDF GCO 02 2024 abo SNCF</t>
  </si>
  <si>
    <t xml:space="preserve">NDF GCO 02 2024 ticket TCL</t>
  </si>
  <si>
    <t xml:space="preserve">NDF ECU 03 2024 ticket TCL</t>
  </si>
  <si>
    <t xml:space="preserve">NDF APA 03 2024 IK</t>
  </si>
  <si>
    <t xml:space="preserve">NDF GCO 03 2024 abo e-velov</t>
  </si>
  <si>
    <t xml:space="preserve">NDF GCO 03 2024 abo SNCF</t>
  </si>
  <si>
    <t xml:space="preserve">NDF GCO 03 2024 voyage SNCF</t>
  </si>
  <si>
    <t xml:space="preserve">NDF GCO 03 2024 repas</t>
  </si>
  <si>
    <t xml:space="preserve">NDF GCO 04 2024 repas</t>
  </si>
  <si>
    <t xml:space="preserve">NDF GCO 04 2024 abo e-velov</t>
  </si>
  <si>
    <t xml:space="preserve">NDF GCO 04 2024 abo SNCF</t>
  </si>
  <si>
    <t xml:space="preserve">NDF GCO 04 2024 billet SNCF</t>
  </si>
  <si>
    <t xml:space="preserve">NDF GCO 04 2024 ticket TCL</t>
  </si>
  <si>
    <t xml:space="preserve">NDF ECU 04 2024 ticket TCL</t>
  </si>
  <si>
    <t xml:space="preserve">NDF APA 04 2024 IK</t>
  </si>
  <si>
    <t xml:space="preserve">NDF PATOU - Indemnité Kilometrique</t>
  </si>
  <si>
    <t xml:space="preserve">NDF PATOU - Inscription Run In Lyon</t>
  </si>
  <si>
    <t xml:space="preserve">NDF ECU 05 2024 abo TCL</t>
  </si>
  <si>
    <t xml:space="preserve">NDF GCO 05 2024 abo e-velov</t>
  </si>
  <si>
    <t xml:space="preserve">NDF GCO 05 2024 abo OURA SNCF</t>
  </si>
  <si>
    <t xml:space="preserve">NDF APA 06 2024 Ik</t>
  </si>
  <si>
    <t xml:space="preserve">NDF APA 06 2024 péage</t>
  </si>
  <si>
    <t xml:space="preserve">NDF GCO 06 2024 abo e-velo</t>
  </si>
  <si>
    <t xml:space="preserve">NDF GCO 06 2024 abo OURA SNCF</t>
  </si>
  <si>
    <t xml:space="preserve">NDF GCO 06 2024 ticket TCL</t>
  </si>
  <si>
    <t xml:space="preserve">NDF APA 07 2024 IK</t>
  </si>
  <si>
    <t xml:space="preserve">NDF GCO 07 2024 abo e-velov</t>
  </si>
  <si>
    <t xml:space="preserve">NDF GCO 07 2024 OURA SNCF</t>
  </si>
  <si>
    <t xml:space="preserve">NDF GCO 07 2024 repas mission</t>
  </si>
  <si>
    <t xml:space="preserve">NDF APA 08 2024 IK</t>
  </si>
  <si>
    <t xml:space="preserve">NDF GCO 08 2024 abo e-velov + OURA SNCF</t>
  </si>
  <si>
    <t xml:space="preserve">NDF GCO 08 2024 repas</t>
  </si>
  <si>
    <t xml:space="preserve">NDF APA 09 2024 IK</t>
  </si>
  <si>
    <t xml:space="preserve">NDF GCO 09 2024 abo OURA SNCF</t>
  </si>
  <si>
    <t xml:space="preserve">NDF GCO 09 2024 abo E-velov</t>
  </si>
  <si>
    <t xml:space="preserve">NDF GCO 09 2024 abo annuel velov</t>
  </si>
  <si>
    <t xml:space="preserve">NDF GCO 09 2024 ticket TCL</t>
  </si>
  <si>
    <t xml:space="preserve">NDF GCO 09 2024 repas mission</t>
  </si>
  <si>
    <t xml:space="preserve">NDF GCO 09 2024 SNCF UNIV PARIS 1</t>
  </si>
  <si>
    <t xml:space="preserve">NDF GCO 10.2024 - Abo OURA SNCF</t>
  </si>
  <si>
    <t xml:space="preserve">NDF GCO 10.2024 - Abo E-VELOV</t>
  </si>
  <si>
    <t xml:space="preserve">NDF APA 10.2024 - Hotel Paris 1 nuit</t>
  </si>
  <si>
    <t xml:space="preserve">NDF APA 10.2024 - IK</t>
  </si>
  <si>
    <t xml:space="preserve">Compte n° 625700</t>
  </si>
  <si>
    <t xml:space="preserve">NDF GCO 03 2024 repas AG SCOPA</t>
  </si>
  <si>
    <t xml:space="preserve">NDF GCO 03 2024 repas projet SCI</t>
  </si>
  <si>
    <t xml:space="preserve">NDF GCO 05 2024 dejeuner Alternance</t>
  </si>
  <si>
    <t xml:space="preserve">NDF GCO 07 2024 reception</t>
  </si>
  <si>
    <t xml:space="preserve">NDF APA 09 2024 reception</t>
  </si>
  <si>
    <t xml:space="preserve">NDF GCO 10.2024 - Repas équipe</t>
  </si>
  <si>
    <t xml:space="preserve">Compte n° 626000</t>
  </si>
  <si>
    <t xml:space="preserve">Frais postaux</t>
  </si>
  <si>
    <t xml:space="preserve">NDF ECU 01 2024 abo téléphonique</t>
  </si>
  <si>
    <t xml:space="preserve">NDF GCO 01 2024 envoi voeux la poste</t>
  </si>
  <si>
    <t xml:space="preserve">NDF GCO 07 2024 courrier AR locaux SCOPA</t>
  </si>
  <si>
    <t xml:space="preserve">Compte n° 626100</t>
  </si>
  <si>
    <t xml:space="preserve">Abonnement téléphonique</t>
  </si>
  <si>
    <t xml:space="preserve">NDF APA 01 2024 Abo SFR</t>
  </si>
  <si>
    <t xml:space="preserve">NDF ECU 02 2024 abo téléphonique</t>
  </si>
  <si>
    <t xml:space="preserve">NDF APA 02 2024 abo SFR</t>
  </si>
  <si>
    <t xml:space="preserve">NDF GCO 02 2024 abo téléphone</t>
  </si>
  <si>
    <t xml:space="preserve">NDF ECU 03 2024 abo téléphonique</t>
  </si>
  <si>
    <t xml:space="preserve">NDF APA 03 2024 abo SFR</t>
  </si>
  <si>
    <t xml:space="preserve">NDF GCO 03 2024 abo téléphonique</t>
  </si>
  <si>
    <t xml:space="preserve">NDF GCO 04 2024 abo téléphonique</t>
  </si>
  <si>
    <t xml:space="preserve">NDF ECU 04 2024 abo téléphonique</t>
  </si>
  <si>
    <t xml:space="preserve">NDF APA 04 2024 abo téléphonique</t>
  </si>
  <si>
    <t xml:space="preserve">NDF PATOU - Abonnement telephonique</t>
  </si>
  <si>
    <t xml:space="preserve">NDF ECU 05 2024 frais téléphonique</t>
  </si>
  <si>
    <t xml:space="preserve">NDF GCO 05 2024 abo téléphonique</t>
  </si>
  <si>
    <t xml:space="preserve">NDF APA 06 2024 abo téléphonique</t>
  </si>
  <si>
    <t xml:space="preserve">NDF GCO 06 2024 abo téléphonique</t>
  </si>
  <si>
    <t xml:space="preserve">NDF APA 07 2024 abo téléphonique</t>
  </si>
  <si>
    <t xml:space="preserve">NDF GCO 07 2024 abo téléphonique</t>
  </si>
  <si>
    <t xml:space="preserve">NDF APA 08 2024 forfait téléphonique</t>
  </si>
  <si>
    <t xml:space="preserve">NDF GCO 08 2024 forfait téléphonique</t>
  </si>
  <si>
    <t xml:space="preserve">NDF APA 09 2024 abo 09 2024</t>
  </si>
  <si>
    <t xml:space="preserve">NDF GCO 09 2024 forfait telephonique</t>
  </si>
  <si>
    <t xml:space="preserve">NDF JSCA 10.2024 - Abo telephone</t>
  </si>
  <si>
    <t xml:space="preserve">NDF GCO 10.2024 - Abo telephone</t>
  </si>
  <si>
    <t xml:space="preserve">NDF APA 10.2024 forfait telephone</t>
  </si>
  <si>
    <t xml:space="preserve">Compte n° 626200</t>
  </si>
  <si>
    <t xml:space="preserve">Abonnement internet</t>
  </si>
  <si>
    <t xml:space="preserve">NDF GCO 10.2024 - Abo internet</t>
  </si>
  <si>
    <t xml:space="preserve">NDF APA 10.2024 - abo internet</t>
  </si>
  <si>
    <t xml:space="preserve">Compte n° 627200</t>
  </si>
  <si>
    <t xml:space="preserve">Frais sur émission d'emprunt</t>
  </si>
  <si>
    <t xml:space="preserve">Commisison vir</t>
  </si>
  <si>
    <t xml:space="preserve">Compte n° 627500</t>
  </si>
  <si>
    <t xml:space="preserve">COMMISSION VIR</t>
  </si>
  <si>
    <t xml:space="preserve">COMMISSION MOUVEMENT</t>
  </si>
  <si>
    <t>FORFAIT</t>
  </si>
  <si>
    <t xml:space="preserve">TVA SUR FORFAIT</t>
  </si>
  <si>
    <t xml:space="preserve">commission vir</t>
  </si>
  <si>
    <t xml:space="preserve">Commission vir</t>
  </si>
  <si>
    <t>forfait</t>
  </si>
  <si>
    <t>Forfait</t>
  </si>
  <si>
    <t xml:space="preserve">Commission mouvement</t>
  </si>
  <si>
    <t xml:space="preserve">FRAIS BANCAIRES</t>
  </si>
  <si>
    <t>COMMISSION</t>
  </si>
  <si>
    <t xml:space="preserve">TAXE SUR FORFAIT</t>
  </si>
  <si>
    <t xml:space="preserve">Comm vir</t>
  </si>
  <si>
    <t xml:space="preserve">Comm mouvement</t>
  </si>
  <si>
    <t xml:space="preserve">Commission sur vir</t>
  </si>
  <si>
    <t xml:space="preserve">Comm sur vir</t>
  </si>
  <si>
    <t xml:space="preserve">Com vir</t>
  </si>
  <si>
    <t xml:space="preserve">com vir</t>
  </si>
  <si>
    <t xml:space="preserve">Commission mouv</t>
  </si>
  <si>
    <t xml:space="preserve">Com sur vir</t>
  </si>
  <si>
    <t xml:space="preserve">Compte n° 628100</t>
  </si>
  <si>
    <t xml:space="preserve">Confédération générale des Scop cotis 2024</t>
  </si>
  <si>
    <t>COT2024010270</t>
  </si>
  <si>
    <t xml:space="preserve">URSCOP cotisation 2024</t>
  </si>
  <si>
    <t xml:space="preserve">LES SCOP -cotisations annuelles</t>
  </si>
  <si>
    <t xml:space="preserve">Compte n° 631200</t>
  </si>
  <si>
    <t xml:space="preserve">Paie 01 2024</t>
  </si>
  <si>
    <t xml:space="preserve">OD paie 01 2024 taxe apprentissage</t>
  </si>
  <si>
    <t xml:space="preserve">Paie 02 2024</t>
  </si>
  <si>
    <t xml:space="preserve">OD paie 02 2024 taxe apprentissage</t>
  </si>
  <si>
    <t xml:space="preserve">Paie 03 2024</t>
  </si>
  <si>
    <t xml:space="preserve">OD paie 03 2024 taxe apprentissage</t>
  </si>
  <si>
    <t xml:space="preserve">Paie 04 2024</t>
  </si>
  <si>
    <t xml:space="preserve">OD paie 04 2024 taxe apprentissage</t>
  </si>
  <si>
    <t xml:space="preserve">Paie 05 2024</t>
  </si>
  <si>
    <t xml:space="preserve">OD paie 05 2024 taxe apprentissage</t>
  </si>
  <si>
    <t xml:space="preserve">Paie 06 2024</t>
  </si>
  <si>
    <t xml:space="preserve">OD paie 06 2024 taxe apprentissage</t>
  </si>
  <si>
    <t xml:space="preserve">Paie 07 2024</t>
  </si>
  <si>
    <t xml:space="preserve">OD paie 07 2024 taxe apprentissage</t>
  </si>
  <si>
    <t xml:space="preserve">Paie 08 2024</t>
  </si>
  <si>
    <t xml:space="preserve">OD paie 08 2024 taxe apprentissage</t>
  </si>
  <si>
    <t xml:space="preserve">Paie 09 2024</t>
  </si>
  <si>
    <t xml:space="preserve">OD paie 09 2024 taxe apprentissage</t>
  </si>
  <si>
    <t xml:space="preserve">Paie 10 2024</t>
  </si>
  <si>
    <t xml:space="preserve">OD paie 10 2024 taxe apprentissage</t>
  </si>
  <si>
    <t xml:space="preserve">Compte n° 631300</t>
  </si>
  <si>
    <t xml:space="preserve">Contribution formation professionnelle</t>
  </si>
  <si>
    <t xml:space="preserve">OD paie 01 2024 contrib formation pro</t>
  </si>
  <si>
    <t xml:space="preserve">OD paie 02 2024 contrib formation pro</t>
  </si>
  <si>
    <t xml:space="preserve">OD paie 03 2024 contrib formation pro</t>
  </si>
  <si>
    <t xml:space="preserve">OD paie 04 2024 contrib formation pro</t>
  </si>
  <si>
    <t xml:space="preserve">OD paie 05 2024 contrib formation pro</t>
  </si>
  <si>
    <t xml:space="preserve">OD paie 06 2024 contrib formation pro</t>
  </si>
  <si>
    <t xml:space="preserve">OD paie 07 2024 contrib formation pro</t>
  </si>
  <si>
    <t xml:space="preserve">OD paie 08 2024 contrib formation pro</t>
  </si>
  <si>
    <t xml:space="preserve">OD paie 09 2024 contrib formation pro</t>
  </si>
  <si>
    <t xml:space="preserve">OD paie 10 2024 contrib formation pro</t>
  </si>
  <si>
    <t xml:space="preserve">Compte n° 641100</t>
  </si>
  <si>
    <t xml:space="preserve">Rémunération du personnel</t>
  </si>
  <si>
    <t xml:space="preserve">OD paie 01 2024 brut</t>
  </si>
  <si>
    <t xml:space="preserve">OD paie 02 2024 brut</t>
  </si>
  <si>
    <t xml:space="preserve">OD paie 03 2024 brut</t>
  </si>
  <si>
    <t xml:space="preserve">OD paie 04 2024 brut</t>
  </si>
  <si>
    <t xml:space="preserve">OD paie 05 2024 brut</t>
  </si>
  <si>
    <t xml:space="preserve">OD paie 06 2024 brut</t>
  </si>
  <si>
    <t xml:space="preserve">OD paie 07 2024 brut</t>
  </si>
  <si>
    <t xml:space="preserve">OD paie 08 2024 brut</t>
  </si>
  <si>
    <t xml:space="preserve">OD paie 09 2024 brut</t>
  </si>
  <si>
    <t xml:space="preserve">OD paie 10 2024 brut</t>
  </si>
  <si>
    <t xml:space="preserve">Compte n° 641200</t>
  </si>
  <si>
    <t xml:space="preserve">congés payés</t>
  </si>
  <si>
    <t xml:space="preserve">2312-OD -000004</t>
  </si>
  <si>
    <t xml:space="preserve">congés payés 2023</t>
  </si>
  <si>
    <t xml:space="preserve">Compte n° 641400</t>
  </si>
  <si>
    <t xml:space="preserve">Ticket restaurant</t>
  </si>
  <si>
    <t xml:space="preserve">OD paie 01 2024 ticket restaurant</t>
  </si>
  <si>
    <t xml:space="preserve">OD paie 02 2024 ticket restaurant</t>
  </si>
  <si>
    <t xml:space="preserve">OD paie 03 2024 ticket restaurant</t>
  </si>
  <si>
    <t xml:space="preserve">OD paie 04 2024 ticket restaurant</t>
  </si>
  <si>
    <t xml:space="preserve">OD paie 05 2024 ticket restaurant</t>
  </si>
  <si>
    <t xml:space="preserve">OD paie 06 2024 ticket restaurant</t>
  </si>
  <si>
    <t xml:space="preserve">OD paie 07 2024 ticket restaurant</t>
  </si>
  <si>
    <t xml:space="preserve">OD paie 08 2024 ticket restaurant</t>
  </si>
  <si>
    <t xml:space="preserve">OD paie 09 2024 ticket restaurant</t>
  </si>
  <si>
    <t xml:space="preserve">OD paie 10 2024 ticket restaurant</t>
  </si>
  <si>
    <t xml:space="preserve">Compte n° 645100</t>
  </si>
  <si>
    <t xml:space="preserve">Cotisation urssaf</t>
  </si>
  <si>
    <t xml:space="preserve">OD paie 01 2024 Securité sociale</t>
  </si>
  <si>
    <t xml:space="preserve">OD paie 02 2024 Securité sociale</t>
  </si>
  <si>
    <t xml:space="preserve">OD paie 03 2024 Securité sociale</t>
  </si>
  <si>
    <t xml:space="preserve">OD paie 04 2024 Securité sociale</t>
  </si>
  <si>
    <t xml:space="preserve">OD paie 05 2024 Securité sociale</t>
  </si>
  <si>
    <t xml:space="preserve">OD paie 06 2024 Securité sociale</t>
  </si>
  <si>
    <t xml:space="preserve">OD paie 07 2024 Securité sociale</t>
  </si>
  <si>
    <t xml:space="preserve">OD paie 08 2024 Securité sociale</t>
  </si>
  <si>
    <t xml:space="preserve">OD paie 09 2024 Securité sociale</t>
  </si>
  <si>
    <t xml:space="preserve">OD paie 10 2024 Securité sociale</t>
  </si>
  <si>
    <t xml:space="preserve">Compte n° 645200</t>
  </si>
  <si>
    <t xml:space="preserve">Cotisation prévoyance + mutuelle</t>
  </si>
  <si>
    <t xml:space="preserve">OD paie 01 2024 prevoyance</t>
  </si>
  <si>
    <t xml:space="preserve">OD paie 02 2024 prevoyance</t>
  </si>
  <si>
    <t xml:space="preserve">OD paie 03 2024 prevoyance</t>
  </si>
  <si>
    <t xml:space="preserve">OD paie 04 2024 prevoyance</t>
  </si>
  <si>
    <t xml:space="preserve">OD paie 05 2024 prevoyance</t>
  </si>
  <si>
    <t xml:space="preserve">OD paie 06 2024 prevoyance</t>
  </si>
  <si>
    <t xml:space="preserve">AXA prévoyance 1T 2024</t>
  </si>
  <si>
    <t xml:space="preserve">OD paie 07 2024 prevoyance</t>
  </si>
  <si>
    <t xml:space="preserve">OD paie 07 2024 prevoyance ALAN</t>
  </si>
  <si>
    <t xml:space="preserve">OD paie 08 2024 prevoyance</t>
  </si>
  <si>
    <t xml:space="preserve">OD paie 08 2024 prevoyance ALAN</t>
  </si>
  <si>
    <t xml:space="preserve">OD paie 09 2024 prevoyance</t>
  </si>
  <si>
    <t xml:space="preserve">OD paie 09 2024 prevoyance ALAN</t>
  </si>
  <si>
    <t xml:space="preserve">AXA Prévoyance 2T 2024</t>
  </si>
  <si>
    <t xml:space="preserve">OD paie 10 2024 prevoyance</t>
  </si>
  <si>
    <t xml:space="preserve">OD paie 10 2024 prevoyance ALAN</t>
  </si>
  <si>
    <t xml:space="preserve">Compte n° 645300</t>
  </si>
  <si>
    <t xml:space="preserve">Cotisation retraite</t>
  </si>
  <si>
    <t xml:space="preserve">OD paie 01 2024 retraite</t>
  </si>
  <si>
    <t xml:space="preserve">OD paie 02 2024 retraite</t>
  </si>
  <si>
    <t xml:space="preserve">OD paie 03 2024 retraite</t>
  </si>
  <si>
    <t xml:space="preserve">OD paie 04 2024 retraite</t>
  </si>
  <si>
    <t xml:space="preserve">OD paie 05 2024 retraite</t>
  </si>
  <si>
    <t xml:space="preserve">OD paie 06 2024 retraite</t>
  </si>
  <si>
    <t xml:space="preserve">OD paie 07 2024 retraite</t>
  </si>
  <si>
    <t xml:space="preserve">OD paie 08 2024 retraite</t>
  </si>
  <si>
    <t xml:space="preserve">OD paie 09 2024 retraite</t>
  </si>
  <si>
    <t xml:space="preserve">OD paie 10 2024 retraite</t>
  </si>
  <si>
    <t xml:space="preserve">Compte n° 645350</t>
  </si>
  <si>
    <t xml:space="preserve">Cotisation mutuelles</t>
  </si>
  <si>
    <t xml:space="preserve">ALAN MUTUELLE 01 2024</t>
  </si>
  <si>
    <t xml:space="preserve">ALAN MUTUELLE 02 2024</t>
  </si>
  <si>
    <t xml:space="preserve">ALAN MUTUELLE 03 2024</t>
  </si>
  <si>
    <t xml:space="preserve">ALAN Mutelle 05 2024</t>
  </si>
  <si>
    <t xml:space="preserve">Alan Mutuelle pour 06 2024</t>
  </si>
  <si>
    <t xml:space="preserve">Allan MUTUELLE 07 2024</t>
  </si>
  <si>
    <t xml:space="preserve">Allan Mutuelle 08 2024</t>
  </si>
  <si>
    <t xml:space="preserve">Allan Mutuelle 09 2024</t>
  </si>
  <si>
    <t>2024-10</t>
  </si>
  <si>
    <t xml:space="preserve">ALAN mutuelle - 10.2024</t>
  </si>
  <si>
    <t xml:space="preserve">Compte n° 645400</t>
  </si>
  <si>
    <t xml:space="preserve">Cotisation pôle emploi</t>
  </si>
  <si>
    <t xml:space="preserve">OD paie 01 2024 assurance chomage</t>
  </si>
  <si>
    <t xml:space="preserve">OD paie 01 2024 APEC</t>
  </si>
  <si>
    <t xml:space="preserve">OD paie 02 2024 assurance chomage</t>
  </si>
  <si>
    <t xml:space="preserve">OD paie 02 2024 APEC</t>
  </si>
  <si>
    <t xml:space="preserve">OD paie 03 2024 assurance chomage</t>
  </si>
  <si>
    <t xml:space="preserve">OD paie 03 2024 APEC</t>
  </si>
  <si>
    <t xml:space="preserve">OD paie 04 2024 assurance chomage</t>
  </si>
  <si>
    <t xml:space="preserve">OD paie 04 2024 APEC</t>
  </si>
  <si>
    <t xml:space="preserve">OD paie 05 2024 assurance chomage</t>
  </si>
  <si>
    <t xml:space="preserve">OD paie 05 2024 APEC</t>
  </si>
  <si>
    <t xml:space="preserve">OD paie 06 2024 assurance chomage</t>
  </si>
  <si>
    <t xml:space="preserve">OD paie 06 2024 APEC</t>
  </si>
  <si>
    <t xml:space="preserve">OD paie 07 2024 APEC</t>
  </si>
  <si>
    <t xml:space="preserve">OD paie 08 2024 APEC</t>
  </si>
  <si>
    <t xml:space="preserve">OD paie 09 2024 APEC</t>
  </si>
  <si>
    <t xml:space="preserve">OD paie 09 2024 Assurance chomage</t>
  </si>
  <si>
    <t xml:space="preserve">OD paie 10 2024 APEC</t>
  </si>
  <si>
    <t xml:space="preserve">OD paie 10 2024 Assurance chomage</t>
  </si>
  <si>
    <t xml:space="preserve">Compte n° 645500</t>
  </si>
  <si>
    <t xml:space="preserve">Charges sociales sur congés payés</t>
  </si>
  <si>
    <t xml:space="preserve">2312-OD -000005</t>
  </si>
  <si>
    <t xml:space="preserve">Compte n° 647400</t>
  </si>
  <si>
    <t xml:space="preserve">Versement aux autres oeuvres sociales</t>
  </si>
  <si>
    <t>FC3299997</t>
  </si>
  <si>
    <t xml:space="preserve">WIISMILE abonnement 03/01/24-&gt;02/04/24</t>
  </si>
  <si>
    <t>FC3303911</t>
  </si>
  <si>
    <t xml:space="preserve">WIISMILE portefeuille subv</t>
  </si>
  <si>
    <t>FC3348885</t>
  </si>
  <si>
    <t>FC3389955</t>
  </si>
  <si>
    <t>FC3434869</t>
  </si>
  <si>
    <t xml:space="preserve">WIISMILE abo 03/04/24-&gt;02/07/24</t>
  </si>
  <si>
    <t>FC3434157</t>
  </si>
  <si>
    <t>WIISMILE</t>
  </si>
  <si>
    <t>FC3529476</t>
  </si>
  <si>
    <t xml:space="preserve">WIISMILE portefeuille subvention OS</t>
  </si>
  <si>
    <t>FC3576421</t>
  </si>
  <si>
    <t xml:space="preserve">WIISMILE intarnet utilisateur 03/07/24-&gt;02/10/24</t>
  </si>
  <si>
    <t>FC3575281</t>
  </si>
  <si>
    <t xml:space="preserve">WIISMILE portefeuille subventions OS</t>
  </si>
  <si>
    <t>FC3632499</t>
  </si>
  <si>
    <t>FC3693652</t>
  </si>
  <si>
    <t xml:space="preserve">WIISMILE Subventions OS</t>
  </si>
  <si>
    <t>FC3741182</t>
  </si>
  <si>
    <t xml:space="preserve">WIISMILE Intranet par urser 03/10/24-&gt;02/01/25</t>
  </si>
  <si>
    <t>FC3749644</t>
  </si>
  <si>
    <t xml:space="preserve">WIISMILE - portefeuile subvention OS</t>
  </si>
  <si>
    <t xml:space="preserve">Compte n° 658000</t>
  </si>
  <si>
    <t xml:space="preserve">Charges gestion courante</t>
  </si>
  <si>
    <t xml:space="preserve">ARRONDI PAS</t>
  </si>
  <si>
    <t xml:space="preserve">Ecart paiement MALT</t>
  </si>
  <si>
    <t xml:space="preserve">Arrondi PAS</t>
  </si>
  <si>
    <t xml:space="preserve">Arrondi URSSAF</t>
  </si>
  <si>
    <t>ADESATT</t>
  </si>
  <si>
    <t xml:space="preserve">Arrondi TVA</t>
  </si>
  <si>
    <t xml:space="preserve">Rompu URSSAF</t>
  </si>
  <si>
    <t xml:space="preserve">OD TVA 06 2024</t>
  </si>
  <si>
    <t xml:space="preserve">Ecart de reglement NDF APA</t>
  </si>
  <si>
    <t xml:space="preserve">Arrondi TVA 10.2024</t>
  </si>
  <si>
    <t xml:space="preserve">Compte n° 661100</t>
  </si>
  <si>
    <t xml:space="preserve">Charges intérêt sur prêt</t>
  </si>
  <si>
    <t xml:space="preserve">DE SOCODEN FEC MOTIF REF 3982</t>
  </si>
  <si>
    <t xml:space="preserve">SOCODEN FEC REF 3982</t>
  </si>
  <si>
    <t xml:space="preserve">Compte n°706100</t>
  </si>
  <si>
    <t xml:space="preserve">Prestations de services</t>
  </si>
  <si>
    <t xml:space="preserve">2312- AAE-000001</t>
  </si>
  <si>
    <t xml:space="preserve">Ext.VICINITY expertise data rent a car annul 137</t>
  </si>
  <si>
    <t xml:space="preserve">Ext.MALT scrum Master La Poste BD</t>
  </si>
  <si>
    <t xml:space="preserve">Ext.MALT Scrum Master La Poste BD</t>
  </si>
  <si>
    <t xml:space="preserve">Ext.MALT Phase 1 mise en place agréfats C libre</t>
  </si>
  <si>
    <t xml:space="preserve">Ext.MALT Scrum Master La poste BD</t>
  </si>
  <si>
    <t xml:space="preserve">2312- FAE-000002</t>
  </si>
  <si>
    <t xml:space="preserve">Ext.MALT Phase 1 mise en place agrégats C libre</t>
  </si>
  <si>
    <t xml:space="preserve">Ext.VICINITY Expertise data Rent a car</t>
  </si>
  <si>
    <t xml:space="preserve">MALT scrum Master La Poste BD</t>
  </si>
  <si>
    <t xml:space="preserve">MALT Scrum Master La Poste BD</t>
  </si>
  <si>
    <t xml:space="preserve">MALT Phase 1 mise en place agréfats C libre</t>
  </si>
  <si>
    <t xml:space="preserve">MALT Scrum Master La poste BD</t>
  </si>
  <si>
    <t xml:space="preserve">MALT Phase 1 mise en place agrégats C libre</t>
  </si>
  <si>
    <t xml:space="preserve">OPEN CLASSROOMS session mentorat</t>
  </si>
  <si>
    <t xml:space="preserve">VICINITY expertise data rent a car annul 137</t>
  </si>
  <si>
    <t xml:space="preserve">VICINITY Expertise data Rent a car</t>
  </si>
  <si>
    <t xml:space="preserve">OPEN CLASSROOMS date jury 22-26-12/01/2024</t>
  </si>
  <si>
    <t xml:space="preserve">VICINITY expertise DATA raoul mobilité</t>
  </si>
  <si>
    <t xml:space="preserve">ALEYSIA Analyse des données HomeServe</t>
  </si>
  <si>
    <t xml:space="preserve">OPEN CLASSROOMS session mentorat expertise 3</t>
  </si>
  <si>
    <t xml:space="preserve">OPEN CLASSROOMS session mentorat 01 2024</t>
  </si>
  <si>
    <t xml:space="preserve">OPEN CLASSROOMS date de jury 05/02-23/02/24</t>
  </si>
  <si>
    <t xml:space="preserve">VICINITY expertise DATA</t>
  </si>
  <si>
    <t xml:space="preserve">ALEYSIA analyse des données HomeServe</t>
  </si>
  <si>
    <t xml:space="preserve">OPEN CLASSROOMS Session mentorat expertise 3</t>
  </si>
  <si>
    <t xml:space="preserve">OPEN CLASSROOMS 40 revues</t>
  </si>
  <si>
    <t xml:space="preserve">VICINITY expertise DATA Raoul Mobilité</t>
  </si>
  <si>
    <t xml:space="preserve">OPEN CLASSROOMS date jury 08-22/04/2024</t>
  </si>
  <si>
    <t xml:space="preserve">SPARKS factures 2022 2023</t>
  </si>
  <si>
    <t xml:space="preserve">LYRIA factures 2022</t>
  </si>
  <si>
    <t xml:space="preserve">SIMPLON.CO factures 2023</t>
  </si>
  <si>
    <t xml:space="preserve">PLB facture 00072</t>
  </si>
  <si>
    <t xml:space="preserve">OPEN CLASSROOMS date jury</t>
  </si>
  <si>
    <t xml:space="preserve">OPEN CLASSROOMS Mentoring session</t>
  </si>
  <si>
    <t xml:space="preserve">OPEN CLASSROOMS - date jury</t>
  </si>
  <si>
    <t xml:space="preserve">ALEYSIA - analyse des données</t>
  </si>
  <si>
    <t xml:space="preserve">OPEN CLASSROOMS Mentoring session Alison 02 2024</t>
  </si>
  <si>
    <t xml:space="preserve">OPEN CLASSROOMS Mentoring session Gaetan 05 2024</t>
  </si>
  <si>
    <t xml:space="preserve">EPSI intervention Gaetan 01 2023</t>
  </si>
  <si>
    <t xml:space="preserve">VICINITY expertise DATA Raoul Mobilité 12/06/24</t>
  </si>
  <si>
    <t xml:space="preserve">ALEYSIA Analyse des données Home Serve 06 2024</t>
  </si>
  <si>
    <t xml:space="preserve">OPEN CLASSROOMS mentorat juin 2024</t>
  </si>
  <si>
    <t xml:space="preserve">OPEN CLASSROOMS mentorship 06 2024</t>
  </si>
  <si>
    <t xml:space="preserve">MALT veille pour génération d'images</t>
  </si>
  <si>
    <t xml:space="preserve">MALT mini application génération d'images de chat</t>
  </si>
  <si>
    <t xml:space="preserve">VICINITY expertise data raoul mobilité 23/07/24</t>
  </si>
  <si>
    <t xml:space="preserve">ALEYSIA analyse des données Home serve</t>
  </si>
  <si>
    <t xml:space="preserve">OPEN CLASSROOMS mentorat 07 2024</t>
  </si>
  <si>
    <t xml:space="preserve">OPEN CLASSROOMS mentorship 07 2024</t>
  </si>
  <si>
    <t xml:space="preserve">VICINITY expertise data raoul mobilité</t>
  </si>
  <si>
    <t xml:space="preserve">OPEN CLASSROOMS Mentorship 08 2024</t>
  </si>
  <si>
    <t xml:space="preserve">Université Paris 1 Mise en place SID PARIS 1</t>
  </si>
  <si>
    <t xml:space="preserve">OPEN CLASSROOMS - Mentorship 09.2024</t>
  </si>
  <si>
    <t xml:space="preserve">Université Paris 1 mise en place SID</t>
  </si>
  <si>
    <t xml:space="preserve">Université Paris 1 - Avoir fact 000228</t>
  </si>
  <si>
    <t xml:space="preserve">ALEYSIA - Analyse données 10.2024</t>
  </si>
  <si>
    <t xml:space="preserve">OPEN CLASSROOMS - Mentorship 10.2024</t>
  </si>
  <si>
    <t xml:space="preserve">Compte n° 706110</t>
  </si>
  <si>
    <t xml:space="preserve">Prestations de formation</t>
  </si>
  <si>
    <t>fae</t>
  </si>
  <si>
    <t xml:space="preserve">FAE factures formations 2022-2023</t>
  </si>
  <si>
    <t>aae</t>
  </si>
  <si>
    <t xml:space="preserve">AAE factures formations 2022-2023</t>
  </si>
  <si>
    <t xml:space="preserve">EPSI architecture décisionnelle</t>
  </si>
  <si>
    <t xml:space="preserve">SIMPLON.CO promo IA4</t>
  </si>
  <si>
    <t xml:space="preserve">EPSI UF Architecture décisionnelle</t>
  </si>
  <si>
    <t xml:space="preserve">SIMPLON.CO rédaction doc simplon x microsoft</t>
  </si>
  <si>
    <t xml:space="preserve">SIMPLON.CO promo IA4 Lyon</t>
  </si>
  <si>
    <t xml:space="preserve">SIMPLON.CO Promo IA5 Lyon</t>
  </si>
  <si>
    <t xml:space="preserve">SPARKS Formation NoSQL</t>
  </si>
  <si>
    <t xml:space="preserve">SIMPLON.CO Promo IA4 Lyon</t>
  </si>
  <si>
    <t xml:space="preserve">SPARKS avoir 2022</t>
  </si>
  <si>
    <t xml:space="preserve">LYRIA avoir factures 2022</t>
  </si>
  <si>
    <t xml:space="preserve">SIMPLON.CO avoir factures 2022</t>
  </si>
  <si>
    <t xml:space="preserve">PLB avoir facture 2023</t>
  </si>
  <si>
    <t xml:space="preserve">SIMPLON.CO Promo IA4</t>
  </si>
  <si>
    <t xml:space="preserve">SPARKS formation Dataiku</t>
  </si>
  <si>
    <t xml:space="preserve">SIMPLON.CO Promo IA4-IA5 Lyon</t>
  </si>
  <si>
    <t xml:space="preserve">EPSI avoir facture 000157 01/06/2024</t>
  </si>
  <si>
    <t xml:space="preserve">SPARKS formation IA 19-20/06/24</t>
  </si>
  <si>
    <t xml:space="preserve">SIMPLON.CO Promo IA5 Lyon + référente data campus</t>
  </si>
  <si>
    <t xml:space="preserve">ELLI UP formation IA générative</t>
  </si>
  <si>
    <t xml:space="preserve">SPARKS formation dataiku 18-19/07/24</t>
  </si>
  <si>
    <t xml:space="preserve">SIMPLON.CO promo IA5 Lyon</t>
  </si>
  <si>
    <t xml:space="preserve">SIMPLON.CO rédaction examen blanc</t>
  </si>
  <si>
    <t xml:space="preserve">SPARKS formation Power BI 16-17/09/24</t>
  </si>
  <si>
    <t xml:space="preserve">ONLY LYON Formation Power BI perso avec prépa PL-3</t>
  </si>
  <si>
    <t xml:space="preserve">LYRIA Formation SQL Initiation</t>
  </si>
  <si>
    <t xml:space="preserve">SIMPLON.CO - Promo IA5</t>
  </si>
  <si>
    <t xml:space="preserve">AKTO - Formation IA Générative</t>
  </si>
  <si>
    <t xml:space="preserve">SIMPLON.CO - Promo ARA Clermont 10.24</t>
  </si>
  <si>
    <t xml:space="preserve">Groupe GEMA - Programmation python + Analyse</t>
  </si>
  <si>
    <t xml:space="preserve">Compte n° 706910</t>
  </si>
  <si>
    <t xml:space="preserve">Formation export</t>
  </si>
  <si>
    <t xml:space="preserve">GCD Analyse de systeme de conformité IA</t>
  </si>
  <si>
    <t xml:space="preserve">GCD Analyse de système conformité IA</t>
  </si>
  <si>
    <t xml:space="preserve">GCD Log modération IA</t>
  </si>
  <si>
    <t xml:space="preserve">Compte n° 708500</t>
  </si>
  <si>
    <t xml:space="preserve">Refacturation frais</t>
  </si>
  <si>
    <t xml:space="preserve">Ext.MALT Frais déplacement 06/03/23 Montpellier</t>
  </si>
  <si>
    <t xml:space="preserve">Ext.MALT Refacturation frais SCRUM MASTER BIG DATA</t>
  </si>
  <si>
    <t xml:space="preserve">MALT Frais déplacement 06/03/23 Montpellier</t>
  </si>
  <si>
    <t xml:space="preserve">MALT Refacturation frais SCRUM MASTER BIG DATA</t>
  </si>
  <si>
    <t xml:space="preserve">Compte n° 758000</t>
  </si>
  <si>
    <t xml:space="preserve">Produits divers gest.courante</t>
  </si>
  <si>
    <t xml:space="preserve">OD paie 05 2024 PAS</t>
  </si>
  <si>
    <t xml:space="preserve">OD paie 06 2024 PAS</t>
  </si>
  <si>
    <t xml:space="preserve">OD PAS 07 2024</t>
  </si>
  <si>
    <t xml:space="preserve">OD PAS 09 2024</t>
  </si>
  <si>
    <t xml:space="preserve">Compte n° 768000</t>
  </si>
  <si>
    <t xml:space="preserve">Autres produits financiers</t>
  </si>
  <si>
    <t xml:space="preserve">Interet créditeurs</t>
  </si>
  <si>
    <t xml:space="preserve">intérêt créditeurs</t>
  </si>
  <si>
    <t xml:space="preserve">Compte n° 791100</t>
  </si>
  <si>
    <t xml:space="preserve">Transf.charges / Exploitation - Aide Apprentis</t>
  </si>
  <si>
    <t xml:space="preserve">AIDE APPRENTI DRFIP</t>
  </si>
  <si>
    <t xml:space="preserve">Aide apprenti DRFIP</t>
  </si>
  <si>
    <t xml:space="preserve">DRFIP ILE DE FRANCE ET DE PARIS</t>
  </si>
  <si>
    <t xml:space="preserve">Ministere du travail aide apprenti</t>
  </si>
  <si>
    <t xml:space="preserve">Total des Mouvements</t>
  </si>
  <si>
    <t xml:space="preserve">Total du Grand-Livre</t>
  </si>
  <si>
    <t>Jours</t>
  </si>
  <si>
    <t xml:space="preserve">Mission Alison</t>
  </si>
  <si>
    <t xml:space="preserve">CA Autre</t>
  </si>
  <si>
    <t xml:space="preserve">White Mirror</t>
  </si>
  <si>
    <t xml:space="preserve">Mission JS</t>
  </si>
  <si>
    <t>Jtekt</t>
  </si>
  <si>
    <t xml:space="preserve">Détails pou for Somme de Montant HT - Salarié.e : Gaetan</t>
  </si>
  <si>
    <t>Plouf</t>
  </si>
  <si>
    <t>objectif</t>
  </si>
  <si>
    <t xml:space="preserve">Gaetan full time</t>
  </si>
  <si>
    <t>Salarie</t>
  </si>
  <si>
    <t>TJM</t>
  </si>
  <si>
    <t>ETP</t>
  </si>
  <si>
    <t xml:space="preserve">Recrutement 1</t>
  </si>
  <si>
    <t xml:space="preserve">Recrutement 2</t>
  </si>
  <si>
    <t xml:space="preserve">Recrutement 3</t>
  </si>
  <si>
    <t>Jfactu</t>
  </si>
  <si>
    <t>Octobre</t>
  </si>
  <si>
    <t>BP25</t>
  </si>
  <si>
    <t>Novembre</t>
  </si>
  <si>
    <t>Dépenses</t>
  </si>
  <si>
    <t>Recettes</t>
  </si>
  <si>
    <t>Décembre</t>
  </si>
  <si>
    <t>Janvier</t>
  </si>
  <si>
    <t>février</t>
  </si>
  <si>
    <t>Alternance</t>
  </si>
  <si>
    <t>Mars</t>
  </si>
  <si>
    <t>Prêt</t>
  </si>
  <si>
    <t>Loyers</t>
  </si>
  <si>
    <t>Avril</t>
  </si>
  <si>
    <t>Mai</t>
  </si>
  <si>
    <t>Juin</t>
  </si>
  <si>
    <t>prime</t>
  </si>
  <si>
    <t>Juillet</t>
  </si>
  <si>
    <t xml:space="preserve">salaire brut</t>
  </si>
  <si>
    <t>Août</t>
  </si>
  <si>
    <t>charges</t>
  </si>
  <si>
    <t>Septembre</t>
  </si>
  <si>
    <t>benefices</t>
  </si>
  <si>
    <t xml:space="preserve">A &amp; G Travail</t>
  </si>
  <si>
    <t xml:space="preserve">A &amp; G bloque</t>
  </si>
  <si>
    <t>SCOPA</t>
  </si>
  <si>
    <t>IR</t>
  </si>
  <si>
    <t>Salaries</t>
  </si>
  <si>
    <t xml:space="preserve">Gaetan direct</t>
  </si>
  <si>
    <t xml:space="preserve">Alison direct</t>
  </si>
  <si>
    <t xml:space="preserve">Argent perdu</t>
  </si>
  <si>
    <t xml:space="preserve">A &amp; G</t>
  </si>
  <si>
    <t xml:space="preserve">sans TVA</t>
  </si>
  <si>
    <t xml:space="preserve">A &amp; 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</si>
</sst>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-* #,##0.00\ &quot;€&quot;_-;\-* #,##0.00\ &quot;€&quot;_-;_-* &quot;-&quot;??\ &quot;€&quot;_-;_-@_-"/>
    <numFmt numFmtId="165" formatCode="#,##0.00\ [$€-C]"/>
    <numFmt numFmtId="166" formatCode="dd/mm/yyyy"/>
    <numFmt numFmtId="167" formatCode="_-* #,##0.00\ [$€-40C]_-;\-* #,##0.00\ [$€-40C]_-;_-* &quot;-&quot;??\ [$€-40C]_-;_-@_-"/>
    <numFmt numFmtId="168" formatCode="_-* #,##0.00\ [$€-C]_-;\-* #,##0.00\ [$€-C]_-;_-* &quot;-&quot;??\ [$€-C]_-;_-@_-"/>
    <numFmt numFmtId="169" formatCode="#,##0.00\ [$€-40C]"/>
    <numFmt numFmtId="170" formatCode="#,##0.00\ &quot;€&quot;"/>
    <numFmt numFmtId="171" formatCode="000000\,\2"/>
  </numFmts>
  <fonts count="17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sz val="10.000000"/>
      <color theme="1"/>
      <name val="Arial"/>
    </font>
    <font>
      <b/>
      <sz val="10.000000"/>
      <name val="Arial"/>
    </font>
    <font>
      <b/>
      <sz val="11.000000"/>
      <color theme="1"/>
      <name val="Calibri"/>
      <scheme val="minor"/>
    </font>
    <font>
      <sz val="10.000000"/>
      <name val="Arial"/>
    </font>
    <font>
      <sz val="10.000000"/>
      <color theme="0" tint="0"/>
      <name val="Arial"/>
    </font>
    <font>
      <u/>
      <sz val="11.000000"/>
      <color theme="10"/>
      <name val="Calibri"/>
    </font>
    <font>
      <sz val="10.000000"/>
      <name val="Times New Roman"/>
    </font>
    <font>
      <sz val="11.000000"/>
      <name val="Calibri"/>
      <scheme val="minor"/>
    </font>
    <font>
      <b/>
      <sz val="11.000000"/>
      <name val="Calibri"/>
      <scheme val="minor"/>
    </font>
    <font>
      <sz val="10.000000"/>
      <color rgb="FF9C5700"/>
      <name val="Arial"/>
    </font>
    <font>
      <sz val="10.000000"/>
      <color rgb="FF9C0006"/>
      <name val="Arial"/>
    </font>
    <font>
      <sz val="11.000000"/>
      <name val="Calibri"/>
    </font>
    <font>
      <b/>
      <sz val="11.000000"/>
      <name val="Calibri"/>
    </font>
    <font>
      <b/>
      <sz val="12.000000"/>
      <color theme="1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"/>
        <bgColor theme="4" tint="0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1"/>
        <bgColor theme="1"/>
      </patternFill>
    </fill>
    <fill>
      <patternFill patternType="solid">
        <fgColor theme="1" tint="0"/>
        <bgColor theme="1" tint="0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2" tint="0"/>
        <bgColor theme="2" tint="0"/>
      </patternFill>
    </fill>
  </fills>
  <borders count="32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207">
    <xf fontId="0" fillId="0" borderId="0" numFmtId="0" xfId="0"/>
    <xf fontId="3" fillId="0" borderId="0" numFmtId="0" xfId="0" applyFont="1"/>
    <xf fontId="3" fillId="0" borderId="0" numFmtId="0" xfId="0" applyFont="1" applyAlignment="1">
      <alignment horizontal="right"/>
    </xf>
    <xf fontId="3" fillId="0" borderId="0" numFmtId="164" xfId="0" applyNumberFormat="1" applyFont="1"/>
    <xf fontId="3" fillId="0" borderId="0" numFmtId="0" xfId="0" applyFont="1" applyAlignment="1">
      <alignment horizontal="center"/>
    </xf>
    <xf fontId="0" fillId="0" borderId="0" numFmtId="165" xfId="0" applyNumberFormat="1"/>
    <xf fontId="0" fillId="0" borderId="0" numFmtId="2" xfId="0" applyNumberFormat="1"/>
    <xf fontId="4" fillId="0" borderId="0" numFmtId="0" xfId="0" applyFont="1" applyAlignment="1">
      <alignment horizontal="center" vertical="center"/>
    </xf>
    <xf fontId="4" fillId="0" borderId="0" numFmtId="0" xfId="0" applyFont="1" applyAlignment="1">
      <alignment horizontal="right" vertical="center"/>
    </xf>
    <xf fontId="4" fillId="0" borderId="0" numFmtId="164" xfId="0" applyNumberFormat="1" applyFont="1" applyAlignment="1">
      <alignment horizontal="center" vertical="center"/>
    </xf>
    <xf fontId="4" fillId="0" borderId="0" numFmtId="0" xfId="0" applyFont="1" applyAlignment="1">
      <alignment horizontal="center"/>
    </xf>
    <xf fontId="5" fillId="0" borderId="0" numFmtId="0" xfId="0" applyFont="1"/>
    <xf fontId="5" fillId="0" borderId="0" numFmtId="165" xfId="0" applyNumberFormat="1" applyFont="1"/>
    <xf fontId="5" fillId="0" borderId="0" numFmtId="0" xfId="0" applyFont="1" applyAlignment="1">
      <alignment horizontal="center"/>
    </xf>
    <xf fontId="3" fillId="0" borderId="0" numFmtId="166" xfId="0" applyNumberFormat="1" applyFont="1"/>
    <xf fontId="6" fillId="0" borderId="0" numFmtId="0" xfId="0" applyFont="1"/>
    <xf fontId="6" fillId="0" borderId="0" numFmtId="165" xfId="0" applyNumberFormat="1" applyFont="1"/>
    <xf fontId="6" fillId="0" borderId="0" numFmtId="14" xfId="0" applyNumberFormat="1" applyFont="1"/>
    <xf fontId="0" fillId="0" borderId="0" numFmtId="0" xfId="0">
      <protection hidden="0" locked="1"/>
    </xf>
    <xf fontId="6" fillId="0" borderId="0" numFmtId="0" xfId="0" applyFont="1" applyAlignment="1">
      <alignment horizontal="right"/>
    </xf>
    <xf fontId="3" fillId="0" borderId="0" numFmtId="14" xfId="0" applyNumberFormat="1" applyFont="1"/>
    <xf fontId="0" fillId="0" borderId="0" numFmtId="0" xfId="0">
      <protection hidden="0" locked="1"/>
    </xf>
    <xf fontId="7" fillId="4" borderId="0" numFmtId="0" xfId="0" applyFont="1" applyFill="1" applyAlignment="1">
      <alignment horizontal="center"/>
    </xf>
    <xf fontId="8" fillId="0" borderId="0" numFmtId="0" xfId="0" applyFont="1" applyAlignment="1">
      <alignment horizontal="left" indent="1"/>
    </xf>
    <xf fontId="9" fillId="0" borderId="0" numFmtId="0" xfId="0" applyFont="1" applyAlignment="1">
      <alignment horizontal="left"/>
    </xf>
    <xf fontId="3" fillId="5" borderId="0" numFmtId="164" xfId="0" applyNumberFormat="1" applyFont="1" applyFill="1"/>
    <xf fontId="0" fillId="0" borderId="1" numFmtId="0" xfId="0" applyBorder="1">
      <protection hidden="0" locked="1"/>
    </xf>
    <xf fontId="5" fillId="6" borderId="2" numFmtId="0" xfId="0" applyFont="1" applyFill="1" applyBorder="1"/>
    <xf fontId="0" fillId="0" borderId="0" numFmtId="167" xfId="0" applyNumberFormat="1"/>
    <xf fontId="5" fillId="0" borderId="2" numFmtId="164" xfId="0" applyNumberFormat="1" applyFont="1" applyBorder="1"/>
    <xf fontId="5" fillId="0" borderId="2" numFmtId="0" xfId="0" applyFont="1" applyBorder="1"/>
    <xf fontId="5" fillId="0" borderId="2" numFmtId="0" xfId="0" applyFont="1" applyBorder="1" applyAlignment="1">
      <alignment horizontal="right"/>
    </xf>
    <xf fontId="0" fillId="7" borderId="0" numFmtId="0" xfId="0" applyFill="1">
      <protection hidden="0" locked="1"/>
    </xf>
    <xf fontId="0" fillId="0" borderId="0" numFmtId="168" xfId="0" applyNumberFormat="1"/>
    <xf fontId="0" fillId="8" borderId="3" numFmtId="0" xfId="0" applyFill="1" applyBorder="1"/>
    <xf fontId="0" fillId="0" borderId="3" numFmtId="164" xfId="0" applyNumberFormat="1" applyBorder="1"/>
    <xf fontId="0" fillId="0" borderId="2" numFmtId="167" xfId="0" applyNumberFormat="1" applyBorder="1"/>
    <xf fontId="0" fillId="0" borderId="0" numFmtId="168" xfId="0" applyNumberFormat="1">
      <protection hidden="0" locked="1"/>
    </xf>
    <xf fontId="0" fillId="8" borderId="4" numFmtId="0" xfId="0" applyFill="1" applyBorder="1"/>
    <xf fontId="0" fillId="0" borderId="4" numFmtId="168" xfId="0" applyNumberFormat="1" applyBorder="1"/>
    <xf fontId="0" fillId="0" borderId="5" numFmtId="0" xfId="0" applyBorder="1">
      <protection hidden="0" locked="1"/>
    </xf>
    <xf fontId="0" fillId="0" borderId="6" numFmtId="0" xfId="0" applyBorder="1">
      <protection hidden="0" locked="1"/>
    </xf>
    <xf fontId="0" fillId="0" borderId="2" numFmtId="0" xfId="0" applyBorder="1"/>
    <xf fontId="0" fillId="0" borderId="2" numFmtId="164" xfId="0" applyNumberFormat="1" applyBorder="1"/>
    <xf fontId="0" fillId="9" borderId="0" numFmtId="0" xfId="0" applyFill="1">
      <protection hidden="0" locked="1"/>
    </xf>
    <xf fontId="0" fillId="0" borderId="0" numFmtId="0" xfId="0"/>
    <xf fontId="0" fillId="10" borderId="0" numFmtId="0" xfId="0" applyFill="1">
      <protection hidden="0" locked="1"/>
    </xf>
    <xf fontId="0" fillId="0" borderId="7" numFmtId="0" xfId="0" applyBorder="1">
      <protection hidden="0" locked="1"/>
    </xf>
    <xf fontId="5" fillId="11" borderId="2" numFmtId="0" xfId="0" applyFont="1" applyFill="1" applyBorder="1"/>
    <xf fontId="5" fillId="0" borderId="2" numFmtId="168" xfId="0" applyNumberFormat="1" applyFont="1" applyBorder="1"/>
    <xf fontId="0" fillId="12" borderId="3" numFmtId="0" xfId="0" applyFill="1" applyBorder="1"/>
    <xf fontId="0" fillId="0" borderId="3" numFmtId="168" xfId="0" applyNumberFormat="1" applyBorder="1"/>
    <xf fontId="0" fillId="12" borderId="4" numFmtId="0" xfId="0" applyFill="1" applyBorder="1"/>
    <xf fontId="5" fillId="13" borderId="3" numFmtId="0" xfId="0" applyFont="1" applyFill="1" applyBorder="1"/>
    <xf fontId="5" fillId="13" borderId="2" numFmtId="0" xfId="0" applyFont="1" applyFill="1" applyBorder="1"/>
    <xf fontId="5" fillId="0" borderId="4" numFmtId="164" xfId="0" applyNumberFormat="1" applyFont="1" applyBorder="1"/>
    <xf fontId="5" fillId="6" borderId="8" numFmtId="0" xfId="0" applyFont="1" applyFill="1" applyBorder="1"/>
    <xf fontId="5" fillId="0" borderId="8" numFmtId="164" xfId="0" applyNumberFormat="1" applyFont="1" applyBorder="1"/>
    <xf fontId="5" fillId="0" borderId="5" numFmtId="164" xfId="0" applyNumberFormat="1" applyFont="1" applyBorder="1"/>
    <xf fontId="5" fillId="0" borderId="9" numFmtId="164" xfId="0" applyNumberFormat="1" applyFont="1" applyBorder="1"/>
    <xf fontId="0" fillId="0" borderId="3" numFmtId="0" xfId="0" applyBorder="1"/>
    <xf fontId="0" fillId="0" borderId="0" numFmtId="164" xfId="0" applyNumberFormat="1"/>
    <xf fontId="0" fillId="0" borderId="10" numFmtId="164" xfId="0" applyNumberFormat="1" applyBorder="1"/>
    <xf fontId="0" fillId="0" borderId="4" numFmtId="0" xfId="0" applyBorder="1"/>
    <xf fontId="0" fillId="0" borderId="11" numFmtId="164" xfId="0" applyNumberFormat="1" applyBorder="1"/>
    <xf fontId="0" fillId="0" borderId="7" numFmtId="164" xfId="0" applyNumberFormat="1" applyBorder="1"/>
    <xf fontId="0" fillId="0" borderId="1" numFmtId="164" xfId="0" applyNumberFormat="1" applyBorder="1"/>
    <xf fontId="0" fillId="0" borderId="0" numFmtId="165" xfId="0" applyNumberFormat="1" applyAlignment="1">
      <alignment horizontal="right"/>
    </xf>
    <xf fontId="0" fillId="14" borderId="0" numFmtId="0" xfId="0" applyFill="1"/>
    <xf fontId="0" fillId="15" borderId="0" numFmtId="0" xfId="0" applyFill="1"/>
    <xf fontId="5" fillId="6" borderId="3" numFmtId="0" xfId="0" applyFont="1" applyFill="1" applyBorder="1"/>
    <xf fontId="5" fillId="0" borderId="3" numFmtId="164" xfId="0" applyNumberFormat="1" applyFont="1" applyBorder="1"/>
    <xf fontId="0" fillId="0" borderId="6" numFmtId="164" xfId="0" applyNumberFormat="1" applyBorder="1"/>
    <xf fontId="0" fillId="0" borderId="12" numFmtId="164" xfId="0" applyNumberFormat="1" applyBorder="1"/>
    <xf fontId="5" fillId="0" borderId="3" numFmtId="0" xfId="0" applyFont="1" applyBorder="1"/>
    <xf fontId="0" fillId="0" borderId="10" numFmtId="167" xfId="0" applyNumberFormat="1" applyBorder="1"/>
    <xf fontId="0" fillId="0" borderId="4" numFmtId="167" xfId="0" applyNumberFormat="1" applyBorder="1"/>
    <xf fontId="0" fillId="0" borderId="7" numFmtId="168" xfId="0" applyNumberFormat="1" applyBorder="1"/>
    <xf fontId="0" fillId="0" borderId="1" numFmtId="168" xfId="0" applyNumberFormat="1" applyBorder="1"/>
    <xf fontId="5" fillId="0" borderId="4" numFmtId="0" xfId="0" applyFont="1" applyBorder="1"/>
    <xf fontId="0" fillId="0" borderId="1" numFmtId="167" xfId="0" applyNumberFormat="1" applyBorder="1"/>
    <xf fontId="0" fillId="14" borderId="0" numFmtId="168" xfId="0" applyNumberFormat="1" applyFill="1"/>
    <xf fontId="5" fillId="0" borderId="12" numFmtId="0" xfId="0" applyFont="1" applyBorder="1"/>
    <xf fontId="5" fillId="0" borderId="3" numFmtId="167" xfId="0" applyNumberFormat="1" applyFont="1" applyBorder="1" applyAlignment="1">
      <alignment horizontal="right"/>
    </xf>
    <xf fontId="0" fillId="0" borderId="0" numFmtId="0" xfId="0" applyAlignment="1">
      <alignment horizontal="left"/>
    </xf>
    <xf fontId="0" fillId="0" borderId="9" numFmtId="167" xfId="0" applyNumberFormat="1" applyBorder="1"/>
    <xf fontId="0" fillId="0" borderId="0" numFmtId="0" xfId="0" applyAlignment="1">
      <alignment horizontal="left" indent="1"/>
    </xf>
    <xf fontId="5" fillId="0" borderId="2" numFmtId="0" xfId="0" applyFont="1" applyBorder="1" applyAlignment="1">
      <alignment wrapText="1"/>
    </xf>
    <xf fontId="0" fillId="0" borderId="5" numFmtId="168" xfId="0" applyNumberFormat="1" applyBorder="1"/>
    <xf fontId="0" fillId="0" borderId="9" numFmtId="165" xfId="0" applyNumberFormat="1" applyBorder="1"/>
    <xf fontId="0" fillId="0" borderId="0" numFmtId="14" xfId="0" applyNumberFormat="1" applyAlignment="1">
      <alignment horizontal="left" indent="2"/>
    </xf>
    <xf fontId="5" fillId="11" borderId="8" numFmtId="0" xfId="0" applyFont="1" applyFill="1" applyBorder="1"/>
    <xf fontId="5" fillId="11" borderId="9" numFmtId="0" xfId="0" applyFont="1" applyFill="1" applyBorder="1"/>
    <xf fontId="5" fillId="0" borderId="8" numFmtId="168" xfId="0" applyNumberFormat="1" applyFont="1" applyBorder="1"/>
    <xf fontId="5" fillId="0" borderId="9" numFmtId="168" xfId="0" applyNumberFormat="1" applyFont="1" applyBorder="1"/>
    <xf fontId="0" fillId="12" borderId="12" numFmtId="0" xfId="0" applyFill="1" applyBorder="1"/>
    <xf fontId="0" fillId="0" borderId="13" numFmtId="168" xfId="0" applyNumberFormat="1" applyBorder="1"/>
    <xf fontId="0" fillId="0" borderId="12" numFmtId="168" xfId="0" applyNumberFormat="1" applyBorder="1"/>
    <xf fontId="0" fillId="0" borderId="11" numFmtId="168" xfId="0" applyNumberFormat="1" applyBorder="1"/>
    <xf fontId="5" fillId="13" borderId="14" numFmtId="0" xfId="0" applyFont="1" applyFill="1" applyBorder="1"/>
    <xf fontId="5" fillId="13" borderId="10" numFmtId="0" xfId="0" applyFont="1" applyFill="1" applyBorder="1"/>
    <xf fontId="5" fillId="0" borderId="11" numFmtId="164" xfId="0" applyNumberFormat="1" applyFont="1" applyBorder="1"/>
    <xf fontId="5" fillId="0" borderId="1" numFmtId="164" xfId="0" applyNumberFormat="1" applyFont="1" applyBorder="1"/>
    <xf fontId="5" fillId="0" borderId="0" numFmtId="164" xfId="0" applyNumberFormat="1" applyFont="1"/>
    <xf fontId="0" fillId="0" borderId="13" numFmtId="164" xfId="0" applyNumberFormat="1" applyBorder="1"/>
    <xf fontId="0" fillId="0" borderId="15" numFmtId="164" xfId="0" applyNumberFormat="1" applyBorder="1"/>
    <xf fontId="5" fillId="16" borderId="2" numFmtId="0" xfId="0" applyFont="1" applyFill="1" applyBorder="1"/>
    <xf fontId="5" fillId="16" borderId="9" numFmtId="0" xfId="0" applyFont="1" applyFill="1" applyBorder="1"/>
    <xf fontId="0" fillId="0" borderId="12" numFmtId="0" xfId="0" applyBorder="1"/>
    <xf fontId="0" fillId="0" borderId="15" numFmtId="165" xfId="0" applyNumberFormat="1" applyBorder="1"/>
    <xf fontId="0" fillId="0" borderId="3" numFmtId="165" xfId="0" applyNumberFormat="1" applyBorder="1"/>
    <xf fontId="0" fillId="0" borderId="12" numFmtId="165" xfId="0" applyNumberFormat="1" applyBorder="1"/>
    <xf fontId="0" fillId="0" borderId="1" numFmtId="165" xfId="0" applyNumberFormat="1" applyBorder="1"/>
    <xf fontId="0" fillId="0" borderId="4" numFmtId="165" xfId="0" applyNumberFormat="1" applyBorder="1"/>
    <xf fontId="0" fillId="0" borderId="12" numFmtId="167" xfId="0" applyNumberFormat="1" applyBorder="1"/>
    <xf fontId="5" fillId="6" borderId="2" numFmtId="0" xfId="0" applyFont="1" applyFill="1" applyBorder="1" applyAlignment="1">
      <alignment horizontal="right"/>
    </xf>
    <xf fontId="5" fillId="12" borderId="2" numFmtId="0" xfId="0" applyFont="1" applyFill="1" applyBorder="1" applyAlignment="1">
      <alignment horizontal="right"/>
    </xf>
    <xf fontId="0" fillId="0" borderId="2" numFmtId="168" xfId="0" applyNumberFormat="1" applyBorder="1"/>
    <xf fontId="5" fillId="13" borderId="2" numFmtId="0" xfId="0" applyFont="1" applyFill="1" applyBorder="1" applyAlignment="1">
      <alignment horizontal="right"/>
    </xf>
    <xf fontId="10" fillId="0" borderId="0" numFmtId="169" xfId="0" applyNumberFormat="1" applyFont="1"/>
    <xf fontId="10" fillId="0" borderId="0" numFmtId="10" xfId="0" applyNumberFormat="1" applyFont="1"/>
    <xf fontId="11" fillId="0" borderId="0" numFmtId="0" xfId="0" applyFont="1"/>
    <xf fontId="11" fillId="0" borderId="0" numFmtId="169" xfId="0" applyNumberFormat="1" applyFont="1"/>
    <xf fontId="5" fillId="0" borderId="0" numFmtId="167" xfId="0" applyNumberFormat="1" applyFont="1"/>
    <xf fontId="11" fillId="0" borderId="0" numFmtId="167" xfId="0" applyNumberFormat="1" applyFont="1"/>
    <xf fontId="10" fillId="10" borderId="0" numFmtId="167" xfId="0" applyNumberFormat="1" applyFont="1" applyFill="1"/>
    <xf fontId="11" fillId="0" borderId="0" numFmtId="10" xfId="0" applyNumberFormat="1" applyFont="1"/>
    <xf fontId="5" fillId="0" borderId="0" numFmtId="10" xfId="0" applyNumberFormat="1" applyFont="1"/>
    <xf fontId="0" fillId="10" borderId="0" numFmtId="167" xfId="0" applyNumberFormat="1" applyFill="1"/>
    <xf fontId="0" fillId="8" borderId="0" numFmtId="168" xfId="0" applyNumberFormat="1" applyFill="1"/>
    <xf fontId="0" fillId="17" borderId="0" numFmtId="167" xfId="0" applyNumberFormat="1" applyFill="1"/>
    <xf fontId="0" fillId="17" borderId="0" numFmtId="168" xfId="0" applyNumberFormat="1" applyFill="1"/>
    <xf fontId="0" fillId="0" borderId="0" numFmtId="167" xfId="0" applyNumberFormat="1">
      <protection hidden="0" locked="1"/>
    </xf>
    <xf fontId="0" fillId="0" borderId="0" numFmtId="167" xfId="0" applyNumberFormat="1" applyAlignment="1">
      <alignment horizontal="left"/>
    </xf>
    <xf fontId="0" fillId="0" borderId="0" numFmtId="166" xfId="0" applyNumberFormat="1"/>
    <xf fontId="4" fillId="0" borderId="0" numFmtId="0" xfId="0" applyFont="1"/>
    <xf fontId="0" fillId="0" borderId="0" numFmtId="10" xfId="0" applyNumberFormat="1"/>
    <xf fontId="6" fillId="0" borderId="0" numFmtId="0" xfId="0" applyFont="1" applyAlignment="1">
      <alignment horizontal="center"/>
    </xf>
    <xf fontId="12" fillId="0" borderId="0" numFmtId="0" xfId="0" applyFont="1" applyAlignment="1">
      <alignment horizontal="center"/>
    </xf>
    <xf fontId="13" fillId="0" borderId="0" numFmtId="0" xfId="0" applyFont="1" applyAlignment="1">
      <alignment horizontal="center"/>
    </xf>
    <xf fontId="3" fillId="0" borderId="0" numFmtId="164" xfId="0" applyNumberFormat="1" applyFont="1" applyAlignment="1">
      <alignment wrapText="1"/>
    </xf>
    <xf fontId="4" fillId="0" borderId="16" numFmtId="0" xfId="0" applyFont="1" applyBorder="1"/>
    <xf fontId="0" fillId="0" borderId="16" numFmtId="164" xfId="0" applyNumberFormat="1" applyBorder="1"/>
    <xf fontId="5" fillId="0" borderId="16" numFmtId="0" xfId="0" applyFont="1" applyBorder="1"/>
    <xf fontId="0" fillId="0" borderId="17" numFmtId="164" xfId="0" applyNumberFormat="1" applyBorder="1"/>
    <xf fontId="0" fillId="0" borderId="0" numFmtId="17" xfId="0" applyNumberFormat="1"/>
    <xf fontId="0" fillId="0" borderId="16" numFmtId="170" xfId="0" applyNumberFormat="1" applyBorder="1"/>
    <xf fontId="0" fillId="0" borderId="0" numFmtId="170" xfId="0" applyNumberFormat="1"/>
    <xf fontId="0" fillId="0" borderId="16" numFmtId="0" xfId="0" applyBorder="1"/>
    <xf fontId="0" fillId="0" borderId="16" numFmtId="10" xfId="0" applyNumberFormat="1" applyBorder="1" applyAlignment="1">
      <alignment horizontal="center"/>
    </xf>
    <xf fontId="0" fillId="0" borderId="16" numFmtId="10" xfId="0" applyNumberFormat="1" applyBorder="1"/>
    <xf fontId="5" fillId="0" borderId="16" numFmtId="0" xfId="0" applyFont="1" applyBorder="1" applyAlignment="1">
      <alignment horizontal="center" vertical="center"/>
    </xf>
    <xf fontId="5" fillId="0" borderId="0" numFmtId="0" xfId="0" applyFont="1" applyAlignment="1">
      <alignment horizontal="center" vertical="center"/>
    </xf>
    <xf fontId="5" fillId="0" borderId="18" numFmtId="0" xfId="0" applyFont="1" applyBorder="1"/>
    <xf fontId="0" fillId="0" borderId="18" numFmtId="164" xfId="0" applyNumberFormat="1" applyBorder="1"/>
    <xf fontId="0" fillId="0" borderId="2" numFmtId="10" xfId="0" applyNumberFormat="1" applyBorder="1"/>
    <xf fontId="5" fillId="10" borderId="19" numFmtId="0" xfId="0" applyFont="1" applyFill="1" applyBorder="1"/>
    <xf fontId="0" fillId="10" borderId="20" numFmtId="164" xfId="0" applyNumberFormat="1" applyFill="1" applyBorder="1"/>
    <xf fontId="0" fillId="18" borderId="21" numFmtId="10" xfId="0" applyNumberFormat="1" applyFill="1" applyBorder="1"/>
    <xf fontId="0" fillId="18" borderId="16" numFmtId="0" xfId="0" applyFill="1" applyBorder="1"/>
    <xf fontId="5" fillId="10" borderId="22" numFmtId="0" xfId="0" applyFont="1" applyFill="1" applyBorder="1"/>
    <xf fontId="0" fillId="10" borderId="23" numFmtId="164" xfId="0" applyNumberFormat="1" applyFill="1" applyBorder="1"/>
    <xf fontId="0" fillId="18" borderId="24" numFmtId="10" xfId="0" applyNumberFormat="1" applyFill="1" applyBorder="1"/>
    <xf fontId="5" fillId="0" borderId="16" numFmtId="164" xfId="0" applyNumberFormat="1" applyFont="1" applyBorder="1"/>
    <xf fontId="5" fillId="0" borderId="25" numFmtId="0" xfId="0" applyFont="1" applyBorder="1"/>
    <xf fontId="0" fillId="0" borderId="25" numFmtId="164" xfId="0" applyNumberFormat="1" applyBorder="1"/>
    <xf fontId="5" fillId="10" borderId="26" numFmtId="0" xfId="0" applyFont="1" applyFill="1" applyBorder="1"/>
    <xf fontId="0" fillId="10" borderId="27" numFmtId="164" xfId="0" applyNumberFormat="1" applyFill="1" applyBorder="1"/>
    <xf fontId="0" fillId="19" borderId="28" numFmtId="10" xfId="0" applyNumberFormat="1" applyFill="1" applyBorder="1"/>
    <xf fontId="0" fillId="10" borderId="29" numFmtId="164" xfId="0" applyNumberFormat="1" applyFill="1" applyBorder="1"/>
    <xf fontId="0" fillId="10" borderId="28" numFmtId="164" xfId="0" applyNumberFormat="1" applyFill="1" applyBorder="1"/>
    <xf fontId="11" fillId="0" borderId="16" numFmtId="0" xfId="0" applyFont="1" applyBorder="1" applyAlignment="1">
      <alignment horizontal="right" vertical="center"/>
    </xf>
    <xf fontId="0" fillId="18" borderId="16" numFmtId="164" xfId="0" applyNumberFormat="1" applyFill="1" applyBorder="1"/>
    <xf fontId="5" fillId="20" borderId="0" numFmtId="4" xfId="0" applyNumberFormat="1" applyFont="1" applyFill="1"/>
    <xf fontId="5" fillId="0" borderId="0" numFmtId="169" xfId="0" applyNumberFormat="1" applyFont="1"/>
    <xf fontId="5" fillId="20" borderId="0" numFmtId="10" xfId="0" applyNumberFormat="1" applyFont="1" applyFill="1"/>
    <xf fontId="0" fillId="0" borderId="0" numFmtId="169" xfId="0" applyNumberFormat="1"/>
    <xf fontId="0" fillId="20" borderId="0" numFmtId="169" xfId="0" applyNumberFormat="1" applyFill="1"/>
    <xf fontId="0" fillId="0" borderId="0" numFmtId="14" xfId="0" applyNumberFormat="1"/>
    <xf fontId="14" fillId="0" borderId="0" numFmtId="0" xfId="0" applyFont="1" applyAlignment="1">
      <alignment horizontal="left"/>
    </xf>
    <xf fontId="6" fillId="0" borderId="30" numFmtId="0" xfId="0" applyFont="1" applyBorder="1" applyAlignment="1">
      <alignment horizontal="left" wrapText="1"/>
    </xf>
    <xf fontId="6" fillId="0" borderId="31" numFmtId="0" xfId="0" applyFont="1" applyBorder="1" applyAlignment="1">
      <alignment horizontal="left" wrapText="1"/>
    </xf>
    <xf fontId="14" fillId="0" borderId="30" numFmtId="0" xfId="0" applyFont="1" applyBorder="1" applyAlignment="1">
      <alignment horizontal="left" wrapText="1"/>
    </xf>
    <xf fontId="0" fillId="0" borderId="30" numFmtId="0" xfId="0" applyBorder="1" applyAlignment="1">
      <alignment horizontal="left" wrapText="1"/>
    </xf>
    <xf fontId="6" fillId="0" borderId="30" numFmtId="166" xfId="0" applyNumberFormat="1" applyFont="1" applyBorder="1" applyAlignment="1">
      <alignment horizontal="right" wrapText="1"/>
    </xf>
    <xf fontId="6" fillId="0" borderId="30" numFmtId="0" xfId="0" applyFont="1" applyBorder="1" applyAlignment="1">
      <alignment horizontal="right" wrapText="1"/>
    </xf>
    <xf fontId="6" fillId="0" borderId="30" numFmtId="166" xfId="0" applyNumberFormat="1" applyFont="1" applyBorder="1" applyAlignment="1">
      <alignment horizontal="left" wrapText="1"/>
    </xf>
    <xf fontId="15" fillId="0" borderId="0" numFmtId="0" xfId="0" applyFont="1" applyAlignment="1">
      <alignment horizontal="left"/>
    </xf>
    <xf fontId="5" fillId="0" borderId="0" numFmtId="0" xfId="0" applyFont="1" applyAlignment="1">
      <alignment horizontal="right"/>
    </xf>
    <xf fontId="0" fillId="0" borderId="0" numFmtId="167" xfId="0" applyNumberFormat="1" applyAlignment="1">
      <alignment horizontal="center" vertical="center"/>
    </xf>
    <xf fontId="0" fillId="21" borderId="0" numFmtId="167" xfId="0" applyNumberFormat="1" applyFill="1"/>
    <xf fontId="15" fillId="0" borderId="30" numFmtId="0" xfId="0" applyFont="1" applyBorder="1" applyAlignment="1">
      <alignment horizontal="left" wrapText="1"/>
    </xf>
    <xf fontId="6" fillId="0" borderId="0" numFmtId="166" xfId="0" applyNumberFormat="1" applyFont="1" applyAlignment="1">
      <alignment horizontal="left" wrapText="1"/>
    </xf>
    <xf fontId="6" fillId="0" borderId="30" numFmtId="167" xfId="0" applyNumberFormat="1" applyFont="1" applyBorder="1" applyAlignment="1">
      <alignment horizontal="right" wrapText="1"/>
    </xf>
    <xf fontId="6" fillId="0" borderId="0" numFmtId="0" xfId="0" applyFont="1" applyAlignment="1">
      <alignment horizontal="left" wrapText="1"/>
    </xf>
    <xf fontId="6" fillId="0" borderId="30" numFmtId="166" xfId="0" applyNumberFormat="1" applyFont="1" applyBorder="1" applyAlignment="1">
      <alignment horizontal="right" wrapText="1"/>
      <protection hidden="0" locked="1"/>
    </xf>
    <xf fontId="6" fillId="0" borderId="30" numFmtId="0" xfId="0" applyFont="1" applyBorder="1" applyAlignment="1">
      <alignment horizontal="left" wrapText="1"/>
      <protection hidden="0" locked="1"/>
    </xf>
    <xf fontId="6" fillId="0" borderId="30" numFmtId="0" xfId="0" applyFont="1" applyBorder="1" applyAlignment="1">
      <alignment horizontal="right" wrapText="1"/>
      <protection hidden="0" locked="1"/>
    </xf>
    <xf fontId="0" fillId="0" borderId="30" numFmtId="0" xfId="0" applyBorder="1" applyAlignment="1">
      <alignment horizontal="left" wrapText="1"/>
      <protection hidden="0" locked="1"/>
    </xf>
    <xf fontId="6" fillId="0" borderId="30" numFmtId="171" xfId="0" applyNumberFormat="1" applyFont="1" applyBorder="1" applyAlignment="1">
      <alignment horizontal="right" wrapText="1"/>
    </xf>
    <xf fontId="0" fillId="0" borderId="31" numFmtId="0" xfId="0" applyBorder="1" applyAlignment="1">
      <alignment horizontal="left" wrapText="1"/>
    </xf>
    <xf fontId="6" fillId="0" borderId="0" numFmtId="166" xfId="0" applyNumberFormat="1" applyFont="1"/>
    <xf fontId="16" fillId="0" borderId="2" numFmtId="168" xfId="0" applyNumberFormat="1" applyFont="1" applyBorder="1"/>
    <xf fontId="0" fillId="0" borderId="0" numFmtId="22" xfId="0" applyNumberFormat="1"/>
    <xf fontId="0" fillId="22" borderId="0" numFmtId="0" xfId="0" applyFill="1"/>
    <xf fontId="5" fillId="22" borderId="0" numFmtId="0" xfId="0" applyFont="1" applyFill="1"/>
    <xf fontId="0" fillId="0" borderId="0" numFmtId="3" xfId="0" applyNumberFormat="1"/>
  </cellXfs>
  <cellStyles count="3">
    <cellStyle name="Normal" xfId="0" builtinId="0"/>
    <cellStyle name="Bad" xfId="1" builtinId="27"/>
    <cellStyle name="Accent1" xfId="2" builtinId="29"/>
  </cellStyles>
  <dxfs count="1">
    <dxf>
      <numFmt numFmtId="16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10" Type="http://schemas.openxmlformats.org/officeDocument/2006/relationships/worksheet" Target="worksheets/sheet3.xml"/><Relationship  Id="rId11" Type="http://schemas.openxmlformats.org/officeDocument/2006/relationships/worksheet" Target="worksheets/sheet4.xml"/><Relationship  Id="rId12" Type="http://schemas.openxmlformats.org/officeDocument/2006/relationships/worksheet" Target="worksheets/sheet5.xml"/><Relationship  Id="rId13" Type="http://schemas.openxmlformats.org/officeDocument/2006/relationships/worksheet" Target="worksheets/sheet6.xml"/><Relationship  Id="rId14" Type="http://schemas.openxmlformats.org/officeDocument/2006/relationships/worksheet" Target="worksheets/sheet7.xml"/><Relationship  Id="rId15" Type="http://schemas.openxmlformats.org/officeDocument/2006/relationships/worksheet" Target="worksheets/sheet8.xml"/><Relationship  Id="rId16" Type="http://schemas.openxmlformats.org/officeDocument/2006/relationships/worksheet" Target="worksheets/sheet9.xml"/><Relationship  Id="rId17" Type="http://schemas.openxmlformats.org/officeDocument/2006/relationships/worksheet" Target="worksheets/sheet10.xml"/><Relationship  Id="rId18" Type="http://schemas.openxmlformats.org/officeDocument/2006/relationships/worksheet" Target="worksheets/sheet11.xml"/><Relationship  Id="rId19" Type="http://schemas.openxmlformats.org/officeDocument/2006/relationships/theme" Target="theme/theme1.xml"/><Relationship  Id="rId2" Type="http://schemas.openxmlformats.org/officeDocument/2006/relationships/pivotCacheDefinition" Target="pivotCache/pivotCacheDefinition2.xml"/><Relationship  Id="rId20" Type="http://schemas.openxmlformats.org/officeDocument/2006/relationships/sharedStrings" Target="sharedStrings.xml"/><Relationship  Id="rId21" Type="http://schemas.openxmlformats.org/officeDocument/2006/relationships/styles" Target="styles.xml"/><Relationship  Id="rId3" Type="http://schemas.openxmlformats.org/officeDocument/2006/relationships/pivotCacheDefinition" Target="pivotCache/pivotCacheDefinition3.xml"/><Relationship  Id="rId4" Type="http://schemas.openxmlformats.org/officeDocument/2006/relationships/pivotCacheDefinition" Target="pivotCache/pivotCacheDefinition4.xml"/><Relationship  Id="rId5" Type="http://schemas.openxmlformats.org/officeDocument/2006/relationships/pivotCacheDefinition" Target="pivotCache/pivotCacheDefinition5.xml"/><Relationship  Id="rId6" Type="http://schemas.openxmlformats.org/officeDocument/2006/relationships/pivotCacheDefinition" Target="pivotCache/pivotCacheDefinition6.xml"/><Relationship  Id="rId7" Type="http://schemas.openxmlformats.org/officeDocument/2006/relationships/pivotCacheDefinition" Target="pivotCache/pivotCacheDefinition7.xml"/><Relationship  Id="rId8" Type="http://schemas.openxmlformats.org/officeDocument/2006/relationships/worksheet" Target="worksheets/sheet1.xml"/><Relationship  Id="rId9" Type="http://schemas.openxmlformats.org/officeDocument/2006/relationships/worksheet" Target="worksheets/sheet2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'Bilan 2024'!$J$47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  <a:bevel/>
            </a:ln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'Bilan 2024'!$J$48:$J$59</c:f>
            </c:numRef>
          </c:val>
        </c:ser>
        <c:ser>
          <c:idx val="1"/>
          <c:order val="1"/>
          <c:tx>
            <c:strRef>
              <c:f>'Bilan 2024'!$K$47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'Bilan 2024'!$K$48:$K$59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6"/>
        <c:axId val="1866169513"/>
        <c:axId val="1866169514"/>
      </c:barChart>
      <c:catAx>
        <c:axId val="1866169513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14"/>
        <c:crosses val="autoZero"/>
        <c:auto val="1"/>
        <c:lblAlgn val="ctr"/>
        <c:lblOffset val="100"/>
        <c:noMultiLvlLbl val="0"/>
      </c:catAx>
      <c:valAx>
        <c:axId val="186616951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1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8148633" y="11096619"/>
      <a:ext cx="4833937" cy="25526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pivotSource>
    <c:name>[2022 Suivi CA &amp; Factures SCOPA.xlsx]2022-2023!Tableau croisé dynamique2</c:name>
    <c:fmtId val="0"/>
  </c:pivotSource>
  <c:chart>
    <c:autoTitleDeleted val="0"/>
    <c:pivotFmts>
      <c:pivotFmt>
        <c:idx val="0"/>
        <c:spPr bwMode="auto">
          <a:prstGeom prst="rect">
            <a:avLst/>
          </a:prstGeom>
          <a:solidFill>
            <a:schemeClr val="accent1"/>
          </a:solidFill>
          <a:ln>
            <a:noFill/>
            <a:round/>
          </a:ln>
          <a:effectLst/>
        </c:spPr>
        <c:marker>
          <c:symbol val="none"/>
        </c:marker>
        <c:dLbl>
          <c:idx val="0"/>
          <c:layout/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  <a:beve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  <c:pivotFmt>
        <c:idx val="1"/>
        <c:spPr bwMode="auto">
          <a:prstGeom prst="rect">
            <a:avLst/>
          </a:prstGeom>
          <a:solidFill>
            <a:schemeClr val="accent1"/>
          </a:solidFill>
          <a:ln>
            <a:noFill/>
            <a:miter/>
          </a:ln>
          <a:effectLst/>
        </c:spPr>
        <c:marker>
          <c:symbol val="none"/>
        </c:marker>
        <c:dLbl>
          <c:idx val="0"/>
          <c:layout/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  <c:pivotFmt>
        <c:idx val="2"/>
        <c:spPr bwMode="auto">
          <a:prstGeom prst="rect">
            <a:avLst/>
          </a:prstGeom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howBubbleSize val="0"/>
          <c:showCatName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029170"/>
          <c:y val="-0.024130"/>
          <c:w val="0.740410"/>
          <c:h val="0.77157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'Bilan 2022-2023'!$O$2:$O$3</c:f>
              <c:strCache>
                <c:ptCount val="1"/>
                <c:pt idx="0">
                  <c:v>non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  <a:miter/>
            </a:ln>
            <a:effectLst/>
          </c:spPr>
          <c:invertIfNegative val="0"/>
          <c:cat>
            <c:multiLvlStrRef>
              <c:f>'Bilan 2022-2023'!$N$4:$N$26</c:f>
              <c:multiLvlStrCache>
                <c:ptCount val="15"/>
                <c:lvl>
                  <c:pt idx="0">
                    <c:v>oct.</c:v>
                  </c:pt>
                  <c:pt idx="1">
                    <c:v>nov.</c:v>
                  </c:pt>
                  <c:pt idx="2">
                    <c:v>déc.</c:v>
                  </c:pt>
                  <c:pt idx="3">
                    <c:v>janv.</c:v>
                  </c:pt>
                  <c:pt idx="4">
                    <c:v>févr.</c:v>
                  </c:pt>
                  <c:pt idx="5">
                    <c:v>mars</c:v>
                  </c:pt>
                  <c:pt idx="6">
                    <c:v>avr.</c:v>
                  </c:pt>
                  <c:pt idx="7">
                    <c:v>mai</c:v>
                  </c:pt>
                  <c:pt idx="8">
                    <c:v>juin</c:v>
                  </c:pt>
                  <c:pt idx="9">
                    <c:v>juil.</c:v>
                  </c:pt>
                  <c:pt idx="10">
                    <c:v>août</c:v>
                  </c:pt>
                  <c:pt idx="11">
                    <c:v>sept.</c:v>
                  </c:pt>
                  <c:pt idx="12">
                    <c:v>oct.</c:v>
                  </c:pt>
                  <c:pt idx="13">
                    <c:v>nov.</c:v>
                  </c:pt>
                  <c:pt idx="14">
                    <c:v>déc.</c:v>
                  </c:pt>
                </c:lvl>
                <c:lvl>
                  <c:pt idx="0">
                    <c:v>Trim4</c:v>
                  </c:pt>
                  <c:pt idx="3">
                    <c:v>Trim1</c:v>
                  </c:pt>
                  <c:pt idx="6">
                    <c:v>Trim2</c:v>
                  </c:pt>
                  <c:pt idx="9">
                    <c:v>Trim3</c:v>
                  </c:pt>
                  <c:pt idx="12">
                    <c:v>Trim4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'Bilan 2022-2023'!$O$4:$O$26</c:f>
              <c:numCache>
                <c:formatCode>General</c:formatCode>
                <c:ptCount val="15"/>
                <c:pt idx="3">
                  <c:v>9450</c:v>
                </c:pt>
                <c:pt idx="4">
                  <c:v>9819</c:v>
                </c:pt>
              </c:numCache>
            </c:numRef>
          </c:val>
        </c:ser>
        <c:ser>
          <c:idx val="1"/>
          <c:order val="1"/>
          <c:tx>
            <c:strRef>
              <c:f>'Bilan 2022-2023'!$P$2:$P$3</c:f>
              <c:strCache>
                <c:ptCount val="1"/>
                <c:pt idx="0">
                  <c:v>oui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'Bilan 2022-2023'!$N$4:$N$26</c:f>
              <c:multiLvlStrCache>
                <c:ptCount val="15"/>
                <c:lvl>
                  <c:pt idx="0">
                    <c:v>oct.</c:v>
                  </c:pt>
                  <c:pt idx="1">
                    <c:v>nov.</c:v>
                  </c:pt>
                  <c:pt idx="2">
                    <c:v>déc.</c:v>
                  </c:pt>
                  <c:pt idx="3">
                    <c:v>janv.</c:v>
                  </c:pt>
                  <c:pt idx="4">
                    <c:v>févr.</c:v>
                  </c:pt>
                  <c:pt idx="5">
                    <c:v>mars</c:v>
                  </c:pt>
                  <c:pt idx="6">
                    <c:v>avr.</c:v>
                  </c:pt>
                  <c:pt idx="7">
                    <c:v>mai</c:v>
                  </c:pt>
                  <c:pt idx="8">
                    <c:v>juin</c:v>
                  </c:pt>
                  <c:pt idx="9">
                    <c:v>juil.</c:v>
                  </c:pt>
                  <c:pt idx="10">
                    <c:v>août</c:v>
                  </c:pt>
                  <c:pt idx="11">
                    <c:v>sept.</c:v>
                  </c:pt>
                  <c:pt idx="12">
                    <c:v>oct.</c:v>
                  </c:pt>
                  <c:pt idx="13">
                    <c:v>nov.</c:v>
                  </c:pt>
                  <c:pt idx="14">
                    <c:v>déc.</c:v>
                  </c:pt>
                </c:lvl>
                <c:lvl>
                  <c:pt idx="0">
                    <c:v>Trim4</c:v>
                  </c:pt>
                  <c:pt idx="3">
                    <c:v>Trim1</c:v>
                  </c:pt>
                  <c:pt idx="6">
                    <c:v>Trim2</c:v>
                  </c:pt>
                  <c:pt idx="9">
                    <c:v>Trim3</c:v>
                  </c:pt>
                  <c:pt idx="12">
                    <c:v>Trim4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'Bilan 2022-2023'!$P$4:$P$26</c:f>
              <c:numCache>
                <c:formatCode>General</c:formatCode>
                <c:ptCount val="15"/>
                <c:pt idx="0">
                  <c:v>12863</c:v>
                </c:pt>
                <c:pt idx="1">
                  <c:v>8470</c:v>
                </c:pt>
                <c:pt idx="2">
                  <c:v>17795</c:v>
                </c:pt>
                <c:pt idx="3">
                  <c:v>5075</c:v>
                </c:pt>
                <c:pt idx="4">
                  <c:v>1390</c:v>
                </c:pt>
              </c:numCache>
            </c:numRef>
          </c:val>
        </c:ser>
        <c:ser>
          <c:idx val="2"/>
          <c:order val="2"/>
          <c:tx>
            <c:strRef>
              <c:f>'Bilan 2022-2023'!$Q$2:$Q$3</c:f>
              <c:strCache>
                <c:ptCount val="1"/>
                <c:pt idx="0">
                  <c:v>prev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'Bilan 2022-2023'!$N$4:$N$26</c:f>
              <c:multiLvlStrCache>
                <c:ptCount val="15"/>
                <c:lvl>
                  <c:pt idx="0">
                    <c:v>oct.</c:v>
                  </c:pt>
                  <c:pt idx="1">
                    <c:v>nov.</c:v>
                  </c:pt>
                  <c:pt idx="2">
                    <c:v>déc.</c:v>
                  </c:pt>
                  <c:pt idx="3">
                    <c:v>janv.</c:v>
                  </c:pt>
                  <c:pt idx="4">
                    <c:v>févr.</c:v>
                  </c:pt>
                  <c:pt idx="5">
                    <c:v>mars</c:v>
                  </c:pt>
                  <c:pt idx="6">
                    <c:v>avr.</c:v>
                  </c:pt>
                  <c:pt idx="7">
                    <c:v>mai</c:v>
                  </c:pt>
                  <c:pt idx="8">
                    <c:v>juin</c:v>
                  </c:pt>
                  <c:pt idx="9">
                    <c:v>juil.</c:v>
                  </c:pt>
                  <c:pt idx="10">
                    <c:v>août</c:v>
                  </c:pt>
                  <c:pt idx="11">
                    <c:v>sept.</c:v>
                  </c:pt>
                  <c:pt idx="12">
                    <c:v>oct.</c:v>
                  </c:pt>
                  <c:pt idx="13">
                    <c:v>nov.</c:v>
                  </c:pt>
                  <c:pt idx="14">
                    <c:v>déc.</c:v>
                  </c:pt>
                </c:lvl>
                <c:lvl>
                  <c:pt idx="0">
                    <c:v>Trim4</c:v>
                  </c:pt>
                  <c:pt idx="3">
                    <c:v>Trim1</c:v>
                  </c:pt>
                  <c:pt idx="6">
                    <c:v>Trim2</c:v>
                  </c:pt>
                  <c:pt idx="9">
                    <c:v>Trim3</c:v>
                  </c:pt>
                  <c:pt idx="12">
                    <c:v>Trim4</c:v>
                  </c:pt>
                </c:lvl>
                <c:lvl>
                  <c:pt idx="0">
                    <c:v>2022</c:v>
                  </c:pt>
                  <c:pt idx="3">
                    <c:v>2023</c:v>
                  </c:pt>
                </c:lvl>
              </c:multiLvlStrCache>
            </c:multiLvlStrRef>
          </c:cat>
          <c:val>
            <c:numRef>
              <c:f>'Bilan 2022-2023'!$Q$4:$Q$26</c:f>
              <c:numCache>
                <c:formatCode>General</c:formatCode>
                <c:ptCount val="15"/>
                <c:pt idx="5">
                  <c:v>15166</c:v>
                </c:pt>
                <c:pt idx="6">
                  <c:v>12946</c:v>
                </c:pt>
                <c:pt idx="7">
                  <c:v>13164</c:v>
                </c:pt>
                <c:pt idx="8">
                  <c:v>12662</c:v>
                </c:pt>
                <c:pt idx="9">
                  <c:v>12406</c:v>
                </c:pt>
                <c:pt idx="10">
                  <c:v>9156</c:v>
                </c:pt>
                <c:pt idx="11">
                  <c:v>13406</c:v>
                </c:pt>
                <c:pt idx="12">
                  <c:v>11406</c:v>
                </c:pt>
                <c:pt idx="13">
                  <c:v>11406</c:v>
                </c:pt>
                <c:pt idx="14">
                  <c:v>11406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7"/>
        <c:axId val="924605296"/>
        <c:axId val="924603632"/>
      </c:barChart>
      <c:catAx>
        <c:axId val="9246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4603632"/>
        <c:crosses val="autoZero"/>
        <c:auto val="1"/>
        <c:lblAlgn val="ctr"/>
        <c:lblOffset val="100"/>
        <c:noMultiLvlLbl val="0"/>
      </c:catAx>
      <c:valAx>
        <c:axId val="92460363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4605296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  <a:beve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960"/>
          <c:y val="0.194540"/>
          <c:w val="0.861110"/>
          <c:h val="0.630990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('Bilan 2022-2023'!$N$6:$N$8,'Bilan 2022-2023'!$N$11:$N$13,'Bilan 2022-2023'!$N$15:$N$17,'Bilan 2022-2023'!$N$19:$N$21,'Bilan 2022-2023'!$N$23:$N$25)</c:f>
              <c:strCache>
                <c:ptCount val="15"/>
                <c:pt idx="0">
                  <c:v>oct.</c:v>
                </c:pt>
                <c:pt idx="1">
                  <c:v>nov.</c:v>
                </c:pt>
                <c:pt idx="2">
                  <c:v>déc.</c:v>
                </c:pt>
                <c:pt idx="3">
                  <c:v>janv.</c:v>
                </c:pt>
                <c:pt idx="4">
                  <c:v>févr.</c:v>
                </c:pt>
                <c:pt idx="5">
                  <c:v>mars</c:v>
                </c:pt>
                <c:pt idx="6">
                  <c:v>avr.</c:v>
                </c:pt>
                <c:pt idx="7">
                  <c:v>mai</c:v>
                </c:pt>
                <c:pt idx="8">
                  <c:v>juin</c:v>
                </c:pt>
                <c:pt idx="9">
                  <c:v>juil.</c:v>
                </c:pt>
                <c:pt idx="10">
                  <c:v>août</c:v>
                </c:pt>
                <c:pt idx="11">
                  <c:v>sept.</c:v>
                </c:pt>
                <c:pt idx="12">
                  <c:v>oct.</c:v>
                </c:pt>
                <c:pt idx="13">
                  <c:v>nov.</c:v>
                </c:pt>
                <c:pt idx="14">
                  <c:v>déc.</c:v>
                </c:pt>
              </c:strCache>
            </c:strRef>
          </c:cat>
          <c:val>
            <c:numRef>
              <c:f>('Bilan 2022-2023'!$R$6:$R$8,'Bilan 2022-2023'!$R$11:$R$13,'Bilan 2022-2023'!$R$15:$R$17,'Bilan 2022-2023'!$R$19:$R$21,'Bilan 2022-2023'!$R$23:$R$25)</c:f>
              <c:numCache>
                <c:formatCode>General</c:formatCode>
                <c:ptCount val="15"/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1866169507"/>
        <c:axId val="1866169508"/>
      </c:lineChart>
      <c:catAx>
        <c:axId val="1866169507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fr-FR"/>
          </a:p>
        </c:txPr>
        <c:crossAx val="1866169508"/>
        <c:crosses val="autoZero"/>
        <c:auto val="1"/>
        <c:lblAlgn val="ctr"/>
        <c:lblOffset val="100"/>
        <c:noMultiLvlLbl val="0"/>
      </c:catAx>
      <c:valAx>
        <c:axId val="186616950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  <a:beve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fr-FR"/>
          </a:p>
        </c:txPr>
        <c:crossAx val="1866169507"/>
        <c:crosses val="autoZero"/>
        <c:crossBetween val="between"/>
      </c:valAx>
      <c:spPr bwMode="auto">
        <a:prstGeom prst="rect">
          <a:avLst/>
        </a:prstGeom>
        <a:noFill/>
        <a:ln>
          <a:noFill/>
          <a:beve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  <a:beve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  <a:beve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  <a:miter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  <a:miter/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miter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  <a:miter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  <a:bevel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2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8</xdr:col>
      <xdr:colOff>33333</xdr:colOff>
      <xdr:row>61</xdr:row>
      <xdr:rowOff>57145</xdr:rowOff>
    </xdr:from>
    <xdr:to>
      <xdr:col>13</xdr:col>
      <xdr:colOff>152394</xdr:colOff>
      <xdr:row>75</xdr:row>
      <xdr:rowOff>76194</xdr:rowOff>
    </xdr:to>
    <xdr:graphicFrame>
      <xdr:nvGraphicFramePr>
        <xdr:cNvPr id="866078149" name=""/>
        <xdr:cNvGraphicFramePr>
          <a:graphicFrameLocks xmlns:a="http://schemas.openxmlformats.org/drawingml/2006/main"/>
        </xdr:cNvGraphicFramePr>
      </xdr:nvGraphicFramePr>
      <xdr:xfrm>
        <a:off x="8148633" y="11096619"/>
        <a:ext cx="4833937" cy="25526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714374</xdr:colOff>
      <xdr:row>30</xdr:row>
      <xdr:rowOff>138111</xdr:rowOff>
    </xdr:from>
    <xdr:to>
      <xdr:col>10</xdr:col>
      <xdr:colOff>1019175</xdr:colOff>
      <xdr:row>53</xdr:row>
      <xdr:rowOff>114300</xdr:rowOff>
    </xdr:to>
    <xdr:graphicFrame>
      <xdr:nvGraphicFramePr>
        <xdr:cNvPr id="3" name="Graphique 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18</xdr:col>
      <xdr:colOff>400049</xdr:colOff>
      <xdr:row>7</xdr:row>
      <xdr:rowOff>104774</xdr:rowOff>
    </xdr:from>
    <xdr:to>
      <xdr:col>23</xdr:col>
      <xdr:colOff>133349</xdr:colOff>
      <xdr:row>23</xdr:row>
      <xdr:rowOff>9524</xdr:rowOff>
    </xdr:to>
    <xdr:graphicFrame>
      <xdr:nvGraphicFramePr>
        <xdr:cNvPr id="1553922946" name="Graphique 155392294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4" refreshedVersion="4" minRefreshableVersion="3" recordCount="336">
  <cacheSource type="worksheet">
    <worksheetSource ref="A:G" sheet="Factures 2022-2023"/>
  </cacheSource>
  <cacheFields count="7">
    <cacheField name="Date">
      <sharedItems containsNonDate="0" containsDate="1" containsString="0" containsBlank="1" minDate="2022-10-01T00:00:00" maxDate="2023-12-31T00:00:00"/>
    </cacheField>
    <cacheField name="Client">
      <sharedItems containsBlank="1" count="14">
        <s v="Simplon"/>
        <s v="Digital Campus"/>
        <s v="OpenClassrooms"/>
        <s v="Vicinity"/>
        <s v="Sparks"/>
        <s v="PLB"/>
        <s v="Malt"/>
        <s v="C-Libre"/>
        <s v="Widip"/>
        <s v="Aleysia"/>
        <s v="GTech"/>
        <s v="TGV Lyria"/>
        <s v="GCD"/>
        <m/>
      </sharedItems>
    </cacheField>
    <cacheField name="Salarié.e">
      <sharedItems containsBlank="1"/>
    </cacheField>
    <cacheField name="Numéro Facture">
      <sharedItems containsBlank="1" containsMixedTypes="1" containsNumber="1" containsInteger="1" minValue="202110005" maxValue="202211004"/>
    </cacheField>
    <cacheField name="Montant HT">
      <sharedItems containsString="0" containsBlank="1" containsNumber="1" minValue="-6626.25" maxValue="7200"/>
    </cacheField>
    <cacheField name="TVA">
      <sharedItems containsString="0" containsBlank="1" containsNumber="1" minValue="-1325.25" maxValue="1440"/>
    </cacheField>
    <cacheField name="Montant TTC">
      <sharedItems containsString="0" containsBlank="1" containsNumber="1" minValue="-7951.5" maxValue="8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332">
  <cacheSource type="worksheet">
    <worksheetSource ref="A:G" sheet="Factures 2022-2023"/>
  </cacheSource>
  <cacheFields count="7">
    <cacheField name="Date">
      <sharedItems containsNonDate="0" containsDate="1" containsString="0" containsBlank="1" minDate="2022-10-01T00:00:00" maxDate="2023-12-31T00:00:00"/>
    </cacheField>
    <cacheField name="Client">
      <sharedItems containsBlank="1"/>
    </cacheField>
    <cacheField name="Salarié.e">
      <sharedItems containsBlank="1" count="4">
        <s v="Alison"/>
        <s v="Gaetan"/>
        <s v="Eliana"/>
        <m/>
      </sharedItems>
    </cacheField>
    <cacheField name="Numéro Facture">
      <sharedItems containsBlank="1" containsMixedTypes="1" containsNumber="1" containsInteger="1" minValue="202110005" maxValue="202211004"/>
    </cacheField>
    <cacheField name="Montant HT">
      <sharedItems containsString="0" containsBlank="1" containsNumber="1" minValue="-6626.25" maxValue="7200"/>
    </cacheField>
    <cacheField name="TVA">
      <sharedItems containsString="0" containsBlank="1" containsNumber="1" minValue="-1325.25" maxValue="1440"/>
    </cacheField>
    <cacheField name="Montant TTC">
      <sharedItems containsString="0" containsBlank="1" containsNumber="1" minValue="-7951.5" maxValue="864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332">
  <cacheSource type="worksheet">
    <worksheetSource ref="A:H" sheet="Factures 2022-2023"/>
  </cacheSource>
  <cacheFields count="10">
    <cacheField name="Date">
      <sharedItems containsNonDate="0" containsDate="1" containsString="0" containsBlank="1" minDate="2022-10-01T00:00:00" maxDate="2023-12-31T00:00:00" count="91">
        <d v="2022-10-31T00:00:00"/>
        <d v="2022-10-01T00:00:00"/>
        <d v="2022-10-13T00:00:00"/>
        <d v="2022-10-20T00:00:00"/>
        <d v="2022-10-28T00:00:00"/>
        <d v="2022-11-03T00:00:00"/>
        <d v="2022-11-07T00:00:00"/>
        <d v="2022-11-10T00:00:00"/>
        <d v="2022-11-28T00:00:00"/>
        <d v="2022-11-30T00:00:00"/>
        <d v="2022-12-05T00:00:00"/>
        <d v="2022-12-01T00:00:00"/>
        <d v="2022-12-04T00:00:00"/>
        <d v="2022-12-06T00:00:00"/>
        <d v="2022-12-20T00:00:00"/>
        <d v="2022-12-22T00:00:00"/>
        <d v="2022-12-24T00:00:00"/>
        <d v="2023-01-01T00:00:00"/>
        <d v="2023-01-09T00:00:00"/>
        <d v="2023-01-06T00:00:00"/>
        <d v="2023-01-20T00:00:00"/>
        <d v="2023-01-30T00:00:00"/>
        <d v="2023-01-31T00:00:00"/>
        <d v="2023-02-03T00:00:00"/>
        <d v="2023-02-05T00:00:00"/>
        <d v="2023-02-23T00:00:00"/>
        <d v="2023-02-27T00:00:00"/>
        <d v="2023-02-28T00:00:00"/>
        <d v="2023-03-02T00:00:00"/>
        <d v="2023-03-05T00:00:00"/>
        <d v="2023-03-06T00:00:00"/>
        <d v="2023-03-07T00:00:00"/>
        <d v="2023-03-17T00:00:00"/>
        <d v="2023-03-22T00:00:00"/>
        <d v="2023-03-27T00:00:00"/>
        <d v="2023-03-29T00:00:00"/>
        <d v="2023-03-31T00:00:00"/>
        <d v="2023-04-05T00:00:00"/>
        <d v="2023-04-24T00:00:00"/>
        <d v="2023-04-25T00:00:00"/>
        <d v="2023-04-26T00:00:00"/>
        <d v="2023-04-30T00:00:00"/>
        <d v="2023-04-28T00:00:00"/>
        <d v="2023-05-03T00:00:00"/>
        <d v="2023-05-05T00:00:00"/>
        <d v="2023-05-11T00:00:00"/>
        <d v="2023-05-16T00:00:00"/>
        <d v="2023-05-22T00:00:00"/>
        <d v="2023-05-26T00:00:00"/>
        <d v="2023-05-30T00:00:00"/>
        <d v="2023-05-31T00:00:00"/>
        <d v="2023-06-05T00:00:00"/>
        <d v="2023-06-22T00:00:00"/>
        <d v="2023-06-09T00:00:00"/>
        <d v="2023-06-16T00:00:00"/>
        <d v="2023-06-26T00:00:00"/>
        <d v="2023-06-30T00:00:00"/>
        <d v="2023-07-05T00:00:00"/>
        <d v="2023-07-07T00:00:00"/>
        <d v="2023-07-21T00:00:00"/>
        <d v="2023-07-31T00:00:00"/>
        <d v="2023-08-05T00:00:00"/>
        <d v="2023-08-14T00:00:00"/>
        <d v="2023-08-30T00:00:00"/>
        <d v="2023-08-31T00:00:00"/>
        <d v="2023-09-01T00:00:00"/>
        <d v="2023-09-05T00:00:00"/>
        <d v="2023-09-26T00:00:00"/>
        <d v="2023-09-27T00:00:00"/>
        <d v="2023-09-30T00:00:00"/>
        <d v="2023-10-03T00:00:00"/>
        <d v="2023-10-05T00:00:00"/>
        <d v="2023-10-12T00:00:00"/>
        <d v="2023-10-15T00:00:00"/>
        <d v="2023-10-25T00:00:00"/>
        <d v="2023-10-20T00:00:00"/>
        <d v="2023-10-31T00:00:00"/>
        <d v="2023-10-27T00:00:00"/>
        <d v="2023-11-07T00:00:00"/>
        <d v="2023-11-05T00:00:00"/>
        <d v="2023-11-23T00:00:00"/>
        <d v="2023-11-24T00:00:00"/>
        <d v="2023-11-14T00:00:00"/>
        <d v="2023-11-29T00:00:00"/>
        <d v="2023-11-30T00:00:00"/>
        <d v="2023-12-05T00:00:00"/>
        <d v="2023-12-15T00:00:00"/>
        <d v="2023-12-22T00:00:00"/>
        <d v="2023-12-30T00:00:00"/>
        <d v="2023-12-31T00:00:00"/>
        <m/>
      </sharedItems>
      <fieldGroup par="9" base="0">
        <rangePr groupBy="months" startDate="2022-10-01T00:00:00" endDate="2024-01-01T00:00:00"/>
        <groupItems count="14">
          <s v="(vide)"/>
          <s v="janv."/>
          <s v="févr."/>
          <s v="mars"/>
          <s v="avr."/>
          <s v="mai"/>
          <s v="juin"/>
          <s v="juil."/>
          <s v="août"/>
          <s v="sept."/>
          <s v="oct."/>
          <s v="nov."/>
          <s v="déc."/>
          <s v="&gt;01/01/2024"/>
        </groupItems>
      </fieldGroup>
    </cacheField>
    <cacheField name="Client">
      <sharedItems containsBlank="1"/>
    </cacheField>
    <cacheField name="Salarié.e">
      <sharedItems containsBlank="1"/>
    </cacheField>
    <cacheField name="Numéro Facture">
      <sharedItems containsBlank="1" containsMixedTypes="1" containsNumber="1" containsInteger="1" minValue="202110005" maxValue="202211004"/>
    </cacheField>
    <cacheField name="Montant HT">
      <sharedItems containsString="0" containsBlank="1" containsNumber="1" minValue="-6626.25" maxValue="7200"/>
    </cacheField>
    <cacheField name="TVA">
      <sharedItems containsString="0" containsBlank="1" containsNumber="1" minValue="-1325.25" maxValue="1440"/>
    </cacheField>
    <cacheField name="Montant TTC">
      <sharedItems containsString="0" containsBlank="1" containsNumber="1" minValue="-7951.5" maxValue="8640"/>
    </cacheField>
    <cacheField name="Payée">
      <sharedItems containsBlank="1" count="2">
        <s v="oui"/>
        <m/>
      </sharedItems>
    </cacheField>
    <cacheField name="Trimestres" numFmtId="0" databaseField="0">
      <fieldGroup base="0">
        <rangePr groupBy="quarters" startDate="2022-10-01T00:00:00" endDate="2024-01-01T00:00:00"/>
        <groupItems count="6">
          <s v="&lt;01/10/2022"/>
          <s v="Trim1"/>
          <s v="Trim2"/>
          <s v="Trim3"/>
          <s v="Trim4"/>
          <s v="&gt;01/01/2024"/>
        </groupItems>
      </fieldGroup>
    </cacheField>
    <cacheField name="Années" numFmtId="0" databaseField="0">
      <fieldGroup base="0">
        <rangePr groupBy="years" startDate="2022-10-01T00:00:00" endDate="2024-01-01T00:00:00"/>
        <groupItems count="4">
          <s v="&lt;01/10/2022"/>
          <s v="2022"/>
          <s v="2023"/>
          <s v="&gt;01/01/2024"/>
        </groupItems>
      </fieldGroup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91">
  <cacheSource type="worksheet">
    <worksheetSource ref="A:H" sheet="Factures 2024"/>
  </cacheSource>
  <cacheFields count="10">
    <cacheField name="Date">
      <sharedItems containsNonDate="0" containsDate="1" containsString="0" containsBlank="1" minDate="2024-01-05T00:00:00" maxDate="2024-12-24T00:00:00" count="70">
        <d v="2024-01-05T00:00:00"/>
        <d v="2024-01-23T00:00:00"/>
        <d v="2024-01-30T00:00:00"/>
        <d v="2024-01-31T00:00:00"/>
        <d v="2024-02-05T00:00:00"/>
        <d v="2024-02-23T00:00:00"/>
        <d v="2024-02-26T00:00:00"/>
        <d v="2024-02-28T00:00:00"/>
        <d v="2024-02-29T00:00:00"/>
        <d v="2024-03-05T00:00:00"/>
        <d v="2024-03-08T00:00:00"/>
        <d v="2024-03-13T00:00:00"/>
        <d v="2024-03-27T00:00:00"/>
        <d v="2024-03-29T00:00:00"/>
        <d v="2024-03-30T00:00:00"/>
        <d v="2024-04-05T16:00:00"/>
        <d v="2024-04-07T00:00:00"/>
        <d v="2024-04-19T00:00:00"/>
        <d v="2024-04-28T00:00:00"/>
        <d v="2024-04-30T00:00:00"/>
        <d v="2024-05-06T00:00:00"/>
        <d v="2024-05-25T16:00:00"/>
        <d v="2024-05-29T00:00:00"/>
        <d v="2024-05-31T00:00:00"/>
        <d v="2024-06-04T00:00:00"/>
        <d v="2024-06-05T00:00:00"/>
        <d v="2024-06-25T00:00:00"/>
        <d v="2024-06-27T00:00:00"/>
        <d v="2024-06-30T00:00:00"/>
        <d v="2024-07-04T00:00:00"/>
        <d v="2024-07-05T00:00:00"/>
        <d v="2024-07-06T00:00:00"/>
        <d v="2024-07-12T00:00:00"/>
        <d v="2024-07-22T00:00:00"/>
        <d v="2024-07-24T00:00:00"/>
        <d v="2024-07-31T00:00:00"/>
        <d v="2024-08-20T00:00:00"/>
        <d v="2024-08-26T00:00:00"/>
        <d v="2024-08-27T00:00:00"/>
        <d v="2024-08-28T00:00:00"/>
        <d v="2024-08-30T00:00:00"/>
        <d v="2024-09-05T00:00:00"/>
        <d v="2024-09-10T00:00:00"/>
        <d v="2024-09-13T00:00:00"/>
        <d v="2024-09-18T00:00:00"/>
        <d v="2024-09-19T00:00:00"/>
        <d v="2024-09-30T00:00:00"/>
        <d v="2024-10-01T00:00:00"/>
        <d v="2024-10-07T00:00:00"/>
        <d v="2024-10-10T00:00:00"/>
        <d v="2024-10-21T00:00:00"/>
        <d v="2024-10-24T00:00:00"/>
        <d v="2024-10-30T00:00:00"/>
        <d v="2024-11-05T00:00:00"/>
        <d v="2024-11-07T00:00:00"/>
        <d v="2024-11-18T00:00:00"/>
        <d v="2024-11-20T00:00:00"/>
        <d v="2024-11-28T00:00:00"/>
        <d v="2024-11-29T00:00:00"/>
        <d v="2024-12-02T00:00:00"/>
        <d v="2024-12-05T00:00:00"/>
        <d v="2024-12-09T00:00:00"/>
        <d v="2024-12-11T00:00:00"/>
        <d v="2024-12-13T00:00:00"/>
        <d v="2024-12-16T00:00:00"/>
        <d v="2024-12-18T00:00:00"/>
        <d v="2024-12-19T00:00:00"/>
        <d v="2024-12-20T00:00:00"/>
        <d v="2024-12-24T00:00:00"/>
        <m/>
      </sharedItems>
      <fieldGroup par="9" base="0">
        <rangePr groupBy="months" startDate="2024-01-05T00:00:00" endDate="2024-12-25T00:00:00"/>
        <groupItems count="14">
          <s v="(vide)"/>
          <s v="janv."/>
          <s v="févr."/>
          <s v="mars"/>
          <s v="avr."/>
          <s v="mai"/>
          <s v="juin"/>
          <s v="juil."/>
          <s v="août"/>
          <s v="sept."/>
          <s v="oct."/>
          <s v="nov."/>
          <s v="déc."/>
          <s v="&gt;25/12/2024"/>
        </groupItems>
      </fieldGroup>
    </cacheField>
    <cacheField name="Client">
      <sharedItems containsBlank="1"/>
    </cacheField>
    <cacheField name="Salarié.e">
      <sharedItems containsBlank="1"/>
    </cacheField>
    <cacheField name="Numéro Facture">
      <sharedItems containsBlank="1"/>
    </cacheField>
    <cacheField name="Montant HT">
      <sharedItems containsString="0" containsBlank="1" containsNumber="1" minValue="-40.31" maxValue="13283.64"/>
    </cacheField>
    <cacheField name="TVA">
      <sharedItems containsString="0" containsBlank="1" containsNumber="1" minValue="0" maxValue="2608.36"/>
    </cacheField>
    <cacheField name="Montant TTC">
      <sharedItems containsString="0" containsBlank="1" containsNumber="1" minValue="0" maxValue="15892"/>
    </cacheField>
    <cacheField name="Payée">
      <sharedItems containsBlank="1" count="4">
        <s v="oui"/>
        <s v="non"/>
        <s v="prev"/>
        <m/>
      </sharedItems>
    </cacheField>
    <cacheField name="Trimestres" numFmtId="0" databaseField="0">
      <fieldGroup base="0">
        <rangePr groupBy="quarters" startDate="2024-01-05T00:00:00" endDate="2024-12-25T00:00:00"/>
        <groupItems count="6">
          <s v="&lt;05/01/2024"/>
          <s v="Trim1"/>
          <s v="Trim2"/>
          <s v="Trim3"/>
          <s v="Trim4"/>
          <s v="&gt;25/12/2024"/>
        </groupItems>
      </fieldGroup>
    </cacheField>
    <cacheField name="Années" numFmtId="0" databaseField="0">
      <fieldGroup base="0">
        <rangePr groupBy="years" startDate="2024-01-05T00:00:00" endDate="2024-12-25T00:00:00"/>
        <groupItems count="3">
          <s v="&lt;05/01/2024"/>
          <s v="2024"/>
          <s v="&gt;25/12/2024"/>
        </groupItems>
      </fieldGroup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91">
  <cacheSource type="worksheet">
    <worksheetSource ref="A:J" sheet="Factures 2024"/>
  </cacheSource>
  <cacheFields count="10">
    <cacheField name="Date">
      <sharedItems containsNonDate="0" containsDate="1" containsString="0" containsBlank="1" minDate="2024-01-05T00:00:00" maxDate="2024-12-24T00:00:00"/>
    </cacheField>
    <cacheField name="Client">
      <sharedItems containsBlank="1"/>
    </cacheField>
    <cacheField name="Salarié.e">
      <sharedItems containsBlank="1" count="3">
        <s v="Gaetan"/>
        <s v="Alison"/>
        <m/>
      </sharedItems>
    </cacheField>
    <cacheField name="Numéro Facture">
      <sharedItems containsBlank="1"/>
    </cacheField>
    <cacheField name="Montant HT">
      <sharedItems containsString="0" containsBlank="1" containsNumber="1" minValue="-40.31" maxValue="13283.64"/>
    </cacheField>
    <cacheField name="TVA">
      <sharedItems containsString="0" containsBlank="1" containsNumber="1" minValue="0" maxValue="2608.36"/>
    </cacheField>
    <cacheField name="Montant TTC">
      <sharedItems containsString="0" containsBlank="1" containsNumber="1" minValue="0" maxValue="15892"/>
    </cacheField>
    <cacheField name="Payée">
      <sharedItems containsBlank="1" count="4">
        <s v="oui"/>
        <s v="non"/>
        <s v="prev"/>
        <m/>
      </sharedItems>
    </cacheField>
    <cacheField name="Jours facturés">
      <sharedItems containsString="0" containsBlank="1" containsNumber="1" minValue="0" maxValue="18"/>
    </cacheField>
    <cacheField name="TJf">
      <sharedItems containsString="0" containsBlank="1" containsNumber="1" minValue="0" maxValue="2000"/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91">
  <cacheSource type="worksheet">
    <worksheetSource ref="A:O" sheet="Factures 2024"/>
  </cacheSource>
  <cacheFields count="15">
    <cacheField name="Date">
      <sharedItems containsNonDate="0" containsDate="1" containsString="0" containsBlank="1" minDate="2024-01-05T00:00:00" maxDate="2024-12-24T00:00:00"/>
    </cacheField>
    <cacheField name="Client">
      <sharedItems containsBlank="1"/>
    </cacheField>
    <cacheField name="Salarié.e">
      <sharedItems containsBlank="1" count="3">
        <s v="Gaetan"/>
        <s v="Alison"/>
        <m/>
      </sharedItems>
    </cacheField>
    <cacheField name="Numéro Facture">
      <sharedItems containsBlank="1"/>
    </cacheField>
    <cacheField name="Montant HT">
      <sharedItems containsString="0" containsBlank="1" containsNumber="1" minValue="-40.31" maxValue="13283.64" count="78">
        <n v="660"/>
        <n v="1180"/>
        <n v="2296"/>
        <n v="930"/>
        <n v="3380"/>
        <n v="9750"/>
        <n v="900"/>
        <n v="7500"/>
        <n v="840"/>
        <n v="790"/>
        <n v="1148"/>
        <n v="2000"/>
        <n v="3900"/>
        <n v="855"/>
        <n v="600"/>
        <n v="3650"/>
        <n v="880"/>
        <n v="1000"/>
        <n v="475"/>
        <n v="750"/>
        <n v="300"/>
        <n v="1065"/>
        <n v="650"/>
        <n v="7000"/>
        <n v="5542.5"/>
        <n v="598.4"/>
        <n v="596"/>
        <n v="950"/>
        <n v="3487.5"/>
        <n v="825"/>
        <n v="6500"/>
        <n v="410.6"/>
        <n v="200"/>
        <n v="1080"/>
        <n v="1500"/>
        <n v="4612.5"/>
        <n v="355"/>
        <n v="650.2"/>
        <n v="1600"/>
        <n v="6550"/>
        <n v="2400"/>
        <n v="287.5"/>
        <n v="584.8"/>
        <n v="500"/>
        <n v="250"/>
        <n v="1250"/>
        <n v="9000"/>
        <n v="230"/>
        <n v="307.6"/>
        <n v="400"/>
        <n v="3000"/>
        <n v="213.6"/>
        <n v="13283.64"/>
        <n v="1400"/>
        <n v="1300"/>
        <n v="2375"/>
        <n v="7250"/>
        <n v="2850"/>
        <n v="1900"/>
        <n v="193.4"/>
        <n v="1425"/>
        <n v="-40.31"/>
        <n v="800"/>
        <n v="2520"/>
        <n v="294.7"/>
        <n v="2250"/>
        <n v="1960"/>
        <n v="975"/>
        <n v="8000"/>
        <n v="5300"/>
        <n v="227.4"/>
        <n v="420"/>
        <n v="1045"/>
        <n v="1200"/>
        <n v="1260"/>
        <n v="1575"/>
        <n v="6000"/>
        <m/>
      </sharedItems>
    </cacheField>
    <cacheField name="TVA">
      <sharedItems containsString="0" containsBlank="1" containsNumber="1" minValue="0" maxValue="2608.36"/>
    </cacheField>
    <cacheField name="Montant TTC">
      <sharedItems containsString="0" containsBlank="1" containsNumber="1" minValue="0" maxValue="15892"/>
    </cacheField>
    <cacheField name="Payée">
      <sharedItems containsBlank="1"/>
    </cacheField>
    <cacheField name="Jours facturés">
      <sharedItems containsString="0" containsBlank="1" containsNumber="1" minValue="0" maxValue="18"/>
    </cacheField>
    <cacheField name="TJf">
      <sharedItems containsString="0" containsBlank="1" containsNumber="1" minValue="0" maxValue="2000"/>
    </cacheField>
    <cacheField name="Jours réel">
      <sharedItems containsString="0" containsBlank="1" containsNumber="1" minValue="0" maxValue="13"/>
    </cacheField>
    <cacheField name="TJ réel">
      <sharedItems containsBlank="1" containsMixedTypes="1" containsNumber="1" minValue="500" maxValue="2000"/>
    </cacheField>
    <cacheField name="Vide">
      <sharedItems containsNonDate="0" containsString="0" containsBlank="1"/>
    </cacheField>
    <cacheField name="Année">
      <sharedItems containsString="0" containsBlank="1" containsNumber="1" containsInteger="1" minValue="1900" maxValue="2024"/>
    </cacheField>
    <cacheField name="Mois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191">
  <cacheSource type="worksheet">
    <worksheetSource ref="A:J" sheet="Factures 2024"/>
  </cacheSource>
  <cacheFields count="10">
    <cacheField name="Date">
      <sharedItems containsNonDate="0" containsDate="1" containsString="0" containsBlank="1" minDate="2024-01-05T00:00:00" maxDate="2024-12-24T00:00:00"/>
    </cacheField>
    <cacheField name="Client">
      <sharedItems containsBlank="1" count="18">
        <s v="OpenClassrooms"/>
        <s v="EPSI"/>
        <s v="Simplon"/>
        <s v="GCD"/>
        <s v="Vicinity"/>
        <s v="Aleysia"/>
        <s v="Sparks"/>
        <s v="Elli Up"/>
        <s v="Malt"/>
        <s v="Univ Paris 1"/>
        <s v="OnlyLyon"/>
        <s v="Lyria"/>
        <s v="GEMA"/>
        <s v="Oreegami"/>
        <s v="SEB"/>
        <s v="Albert School"/>
        <s v="GL events"/>
        <m/>
      </sharedItems>
    </cacheField>
    <cacheField name="Salarié.e">
      <sharedItems containsBlank="1"/>
    </cacheField>
    <cacheField name="Numéro Facture">
      <sharedItems containsBlank="1"/>
    </cacheField>
    <cacheField name="Montant HT">
      <sharedItems containsString="0" containsBlank="1" containsNumber="1" minValue="-40.31" maxValue="13283.64"/>
    </cacheField>
    <cacheField name="TVA">
      <sharedItems containsString="0" containsBlank="1" containsNumber="1" minValue="0" maxValue="2608.36"/>
    </cacheField>
    <cacheField name="Montant TTC">
      <sharedItems containsString="0" containsBlank="1" containsNumber="1" minValue="0" maxValue="15892"/>
    </cacheField>
    <cacheField name="Payée">
      <sharedItems containsBlank="1" count="3">
        <s v="oui"/>
        <s v="non"/>
        <m/>
      </sharedItems>
    </cacheField>
    <cacheField name="Jours facturés">
      <sharedItems containsString="0" containsBlank="1" containsNumber="1" minValue="0" maxValue="18"/>
    </cacheField>
    <cacheField name="TJf">
      <sharedItems containsString="0" containsBlank="1" containsNumber="1" minValue="0" maxValue="2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6">
  <r>
    <d v="2022-10-31T00:00:00"/>
    <x v="0"/>
    <s v="Alison"/>
    <n v="202110005"/>
    <n v="60"/>
    <n v="0"/>
    <n v="60"/>
  </r>
  <r>
    <d v="2022-10-31T00:00:00"/>
    <x v="0"/>
    <s v="Alison"/>
    <n v="202110006"/>
    <n v="3600"/>
    <n v="0"/>
    <n v="3600"/>
  </r>
  <r>
    <d v="2022-10-01T00:00:00"/>
    <x v="1"/>
    <s v="Gaetan"/>
    <n v="202209002"/>
    <n v="1092"/>
    <n v="218.4"/>
    <n v="1310.4"/>
  </r>
  <r>
    <d v="2022-10-13T00:00:00"/>
    <x v="2"/>
    <s v="Alison"/>
    <n v="202210001"/>
    <n v="375"/>
    <n v="75"/>
    <n v="450"/>
  </r>
  <r>
    <d v="2022-10-20T00:00:00"/>
    <x v="2"/>
    <s v="Alison"/>
    <n v="202210002"/>
    <n v="200"/>
    <n v="40"/>
    <n v="240"/>
  </r>
  <r>
    <d v="2022-10-28T00:00:00"/>
    <x v="3"/>
    <s v="Gaetan"/>
    <n v="202210003"/>
    <n v="7200"/>
    <n v="1440"/>
    <n v="8640"/>
  </r>
  <r>
    <d v="2022-10-28T00:00:00"/>
    <x v="1"/>
    <s v="Gaetan"/>
    <n v="202210004"/>
    <n v="336"/>
    <n v="67.2"/>
    <n v="403.2"/>
  </r>
  <r>
    <d v="2022-11-03T00:00:00"/>
    <x v="4"/>
    <s v="Alison"/>
    <n v="202211001"/>
    <n v="650"/>
    <n v="0"/>
    <n v="650"/>
  </r>
  <r>
    <d v="2022-11-07T00:00:00"/>
    <x v="2"/>
    <s v="Gaetan"/>
    <n v="202211002"/>
    <n v="640"/>
    <n v="128"/>
    <n v="768"/>
  </r>
  <r>
    <d v="2022-11-07T00:00:00"/>
    <x v="2"/>
    <s v="Alison"/>
    <n v="202211003"/>
    <n v="1295"/>
    <n v="259"/>
    <n v="1554"/>
  </r>
  <r>
    <d v="2022-11-10T00:00:00"/>
    <x v="2"/>
    <s v="Alison"/>
    <n v="202211004"/>
    <n v="375"/>
    <n v="75"/>
    <n v="450"/>
  </r>
  <r>
    <d v="2022-11-28T00:00:00"/>
    <x v="2"/>
    <s v="Alison"/>
    <s v="2022-11-28-000012"/>
    <n v="200"/>
    <n v="40"/>
    <n v="240"/>
  </r>
  <r>
    <d v="2022-11-30T00:00:00"/>
    <x v="3"/>
    <s v="Gaetan"/>
    <s v="2022-11-30-000013"/>
    <n v="4050"/>
    <n v="810"/>
    <n v="4860"/>
  </r>
  <r>
    <d v="2022-11-30T00:00:00"/>
    <x v="1"/>
    <s v="Gaetan"/>
    <s v="2022-11-30-000014"/>
    <n v="1260"/>
    <n v="252"/>
    <n v="1512"/>
  </r>
  <r>
    <d v="2022-12-05T00:00:00"/>
    <x v="2"/>
    <s v="Alison"/>
    <s v="2022-11-30-000020"/>
    <n v="375"/>
    <n v="75"/>
    <n v="450"/>
  </r>
  <r>
    <d v="2022-12-01T00:00:00"/>
    <x v="0"/>
    <s v="Alison"/>
    <s v="2022-12-01-000015"/>
    <n v="4500"/>
    <n v="0"/>
    <n v="4500"/>
  </r>
  <r>
    <d v="2022-12-04T00:00:00"/>
    <x v="4"/>
    <s v="Alison"/>
    <s v="2022-12-04-000016"/>
    <n v="750"/>
    <n v="0"/>
    <n v="750"/>
  </r>
  <r>
    <d v="2022-12-05T00:00:00"/>
    <x v="2"/>
    <s v="Gaetan"/>
    <s v="2022-12-05-000017"/>
    <n v="560"/>
    <n v="112"/>
    <n v="672"/>
  </r>
  <r>
    <d v="2022-12-05T00:00:00"/>
    <x v="2"/>
    <s v="Alison"/>
    <s v="2022-12-05-000018"/>
    <n v="1115"/>
    <n v="223"/>
    <n v="1338"/>
  </r>
  <r>
    <d v="2022-12-06T00:00:00"/>
    <x v="2"/>
    <s v="Alison"/>
    <s v="2022-12-06-000019"/>
    <n v="15"/>
    <n v="3"/>
    <n v="18"/>
  </r>
  <r>
    <d v="2022-12-20T00:00:00"/>
    <x v="5"/>
    <s v="Alison"/>
    <s v="2022-12-20-000021"/>
    <n v="250"/>
    <n v="50"/>
    <n v="300"/>
  </r>
  <r>
    <d v="2022-12-20T00:00:00"/>
    <x v="0"/>
    <s v="Alison"/>
    <s v="2022-12-20-000022"/>
    <n v="2700"/>
    <n v="0"/>
    <n v="2700"/>
  </r>
  <r>
    <d v="2022-12-20T00:00:00"/>
    <x v="2"/>
    <s v="Gaetan"/>
    <s v="2022-12-20-000025"/>
    <n v="560"/>
    <n v="112"/>
    <n v="672"/>
  </r>
  <r>
    <d v="2022-12-22T00:00:00"/>
    <x v="1"/>
    <s v="Gaetan"/>
    <s v="2022-12-22-000023"/>
    <n v="420"/>
    <n v="84"/>
    <n v="504"/>
  </r>
  <r>
    <d v="2022-12-22T00:00:00"/>
    <x v="3"/>
    <s v="Gaetan"/>
    <s v="2022-12-22-000024"/>
    <n v="6300"/>
    <n v="1260"/>
    <n v="7560"/>
  </r>
  <r>
    <d v="2022-12-24T00:00:00"/>
    <x v="2"/>
    <s v="Alison"/>
    <s v="2022-12-24-000026"/>
    <n v="250"/>
    <n v="50"/>
    <n v="300"/>
  </r>
  <r>
    <d v="2023-01-01T00:00:00"/>
    <x v="2"/>
    <s v="Alison"/>
    <s v="2023-01-01-000027"/>
    <n v="375"/>
    <n v="75"/>
    <n v="450"/>
  </r>
  <r>
    <d v="2023-01-09T00:00:00"/>
    <x v="2"/>
    <s v="Alison"/>
    <s v="2023-01-01-000029"/>
    <n v="375"/>
    <n v="75"/>
    <n v="450"/>
  </r>
  <r>
    <d v="2023-01-06T00:00:00"/>
    <x v="2"/>
    <s v="Alison"/>
    <s v="2023-01-06-000028"/>
    <n v="605"/>
    <n v="121"/>
    <n v="726"/>
  </r>
  <r>
    <d v="2023-01-20T00:00:00"/>
    <x v="0"/>
    <s v="Gaetan"/>
    <s v="2023-01-20-000030"/>
    <n v="1350"/>
    <n v="0"/>
    <n v="1350"/>
  </r>
  <r>
    <d v="2023-01-30T00:00:00"/>
    <x v="1"/>
    <s v="Gaetan"/>
    <s v="2023-01-30-000031"/>
    <n v="1620"/>
    <n v="324"/>
    <n v="1944"/>
  </r>
  <r>
    <d v="2023-01-30T00:00:00"/>
    <x v="3"/>
    <s v="Gaetan"/>
    <s v="2023-01-30-000032"/>
    <n v="5400"/>
    <n v="1080"/>
    <n v="6480"/>
  </r>
  <r>
    <d v="2023-01-30T00:00:00"/>
    <x v="2"/>
    <s v="Alison"/>
    <s v="2023-01-30-000033"/>
    <n v="750"/>
    <n v="150"/>
    <n v="900"/>
  </r>
  <r>
    <d v="2023-01-31T00:00:00"/>
    <x v="0"/>
    <s v="Alison"/>
    <s v="2023-01-31-000034"/>
    <n v="4050"/>
    <n v="0"/>
    <n v="4050"/>
  </r>
  <r>
    <d v="2023-02-03T00:00:00"/>
    <x v="2"/>
    <s v="Gaetan"/>
    <s v="2023-02-03-000035"/>
    <n v="700"/>
    <n v="140"/>
    <n v="840"/>
  </r>
  <r>
    <d v="2023-02-05T00:00:00"/>
    <x v="2"/>
    <s v="Alison"/>
    <s v="2023-02-03-000036"/>
    <n v="1390"/>
    <n v="278"/>
    <n v="1668"/>
  </r>
  <r>
    <d v="2023-02-23T00:00:00"/>
    <x v="2"/>
    <s v="Alison"/>
    <s v="2023-02-03-000037"/>
    <n v="390"/>
    <n v="78"/>
    <n v="468"/>
  </r>
  <r>
    <d v="2023-02-23T00:00:00"/>
    <x v="1"/>
    <s v="Gaetan"/>
    <s v="2023-02-23-000038"/>
    <n v="504"/>
    <n v="100.80000000000001"/>
    <n v="604.8"/>
  </r>
  <r>
    <d v="2023-02-23T00:00:00"/>
    <x v="3"/>
    <s v="Gaetan"/>
    <s v="2023-02-23-000039"/>
    <n v="5850"/>
    <n v="1170"/>
    <n v="7020"/>
  </r>
  <r>
    <d v="2023-02-27T00:00:00"/>
    <x v="2"/>
    <s v="Alison"/>
    <s v="2023-02-27-000040"/>
    <n v="350"/>
    <n v="70"/>
    <n v="420"/>
  </r>
  <r>
    <d v="2023-02-28T00:00:00"/>
    <x v="0"/>
    <s v="Alison"/>
    <s v="2023-02-28-000041"/>
    <n v="2025"/>
    <n v="0"/>
    <n v="2025"/>
  </r>
  <r>
    <d v="2023-03-02T00:00:00"/>
    <x v="2"/>
    <s v="Alison"/>
    <s v="2023-03-02-000042"/>
    <n v="150"/>
    <n v="30"/>
    <n v="180"/>
  </r>
  <r>
    <d v="2023-03-05T00:00:00"/>
    <x v="3"/>
    <s v="Gaetan"/>
    <s v="2023-03-05-000043"/>
    <n v="1350"/>
    <n v="270"/>
    <n v="1620"/>
  </r>
  <r>
    <d v="2023-03-06T00:00:00"/>
    <x v="2"/>
    <s v="Alison"/>
    <s v="2023-03-06-000044"/>
    <n v="1032.5"/>
    <n v="206.5"/>
    <n v="1239"/>
  </r>
  <r>
    <d v="2023-03-06T00:00:00"/>
    <x v="2"/>
    <s v="Gaetan"/>
    <s v="2023-03-06-000045"/>
    <n v="830"/>
    <n v="166"/>
    <n v="996"/>
  </r>
  <r>
    <d v="2023-03-07T00:00:00"/>
    <x v="4"/>
    <s v="Alison"/>
    <s v="2023-03-07-000046"/>
    <n v="750"/>
    <n v="0"/>
    <n v="750"/>
  </r>
  <r>
    <d v="2023-03-07T00:00:00"/>
    <x v="2"/>
    <s v="Alison"/>
    <s v="2023-03-07-000047"/>
    <n v="405"/>
    <n v="81"/>
    <n v="486"/>
  </r>
  <r>
    <d v="2023-03-17T00:00:00"/>
    <x v="1"/>
    <s v="Gaetan"/>
    <s v="2023-03-17-000048"/>
    <n v="756"/>
    <n v="151.20000000000002"/>
    <n v="907.2"/>
  </r>
  <r>
    <d v="2023-03-22T00:00:00"/>
    <x v="0"/>
    <s v="Alison"/>
    <s v="2023-03-22-000049"/>
    <n v="2200"/>
    <n v="0"/>
    <n v="2200"/>
  </r>
  <r>
    <d v="2023-03-22T00:00:00"/>
    <x v="0"/>
    <s v="Gaetan"/>
    <s v="2023-03-22-000050"/>
    <n v="450"/>
    <n v="0"/>
    <n v="450"/>
  </r>
  <r>
    <d v="2023-03-27T00:00:00"/>
    <x v="2"/>
    <s v="Alison"/>
    <s v="2023-03-27-000051"/>
    <n v="250"/>
    <n v="50"/>
    <n v="300"/>
  </r>
  <r>
    <d v="2023-03-29T00:00:00"/>
    <x v="2"/>
    <s v="Alison"/>
    <s v="2023-03-29-000052"/>
    <n v="300"/>
    <n v="60"/>
    <n v="360"/>
  </r>
  <r>
    <d v="2023-03-29T00:00:00"/>
    <x v="2"/>
    <s v="Alison"/>
    <s v="2023-03-29-000053"/>
    <n v="375"/>
    <n v="75"/>
    <n v="450"/>
  </r>
  <r>
    <d v="2023-03-29T00:00:00"/>
    <x v="0"/>
    <s v="Alison"/>
    <s v="2023-03-29-000054"/>
    <n v="2700"/>
    <n v="0"/>
    <n v="2700"/>
  </r>
  <r>
    <d v="2023-03-31T00:00:00"/>
    <x v="6"/>
    <s v="Gaetan"/>
    <s v="2023-03-31-000055"/>
    <n v="6626.25"/>
    <n v="1325.25"/>
    <n v="7951.5"/>
  </r>
  <r>
    <d v="2023-03-31T00:00:00"/>
    <x v="4"/>
    <s v="Alison"/>
    <s v="2023-03-31-000056"/>
    <n v="1500"/>
    <n v="0"/>
    <n v="1500"/>
  </r>
  <r>
    <d v="2023-04-05T00:00:00"/>
    <x v="2"/>
    <s v="Gaetan"/>
    <s v="2023-04-05-000057"/>
    <n v="880"/>
    <n v="176"/>
    <n v="1056"/>
  </r>
  <r>
    <d v="2023-04-05T00:00:00"/>
    <x v="2"/>
    <s v="Alison"/>
    <s v="2023-04-06-000058"/>
    <n v="725"/>
    <n v="145"/>
    <n v="870"/>
  </r>
  <r>
    <d v="2023-04-24T00:00:00"/>
    <x v="0"/>
    <s v="Alison"/>
    <s v="2023-04-24-000059"/>
    <n v="5880"/>
    <n v="176"/>
    <n v="6056"/>
  </r>
  <r>
    <d v="2023-04-25T00:00:00"/>
    <x v="2"/>
    <s v="Alison"/>
    <s v="2023-04-25-000060"/>
    <n v="825"/>
    <n v="165"/>
    <n v="990"/>
  </r>
  <r>
    <d v="2023-04-25T00:00:00"/>
    <x v="2"/>
    <s v="Alison"/>
    <s v="2023-04-25-000061"/>
    <n v="180"/>
    <n v="36"/>
    <n v="216"/>
  </r>
  <r>
    <d v="2023-04-26T00:00:00"/>
    <x v="1"/>
    <s v="Gaetan"/>
    <s v="2023-04-26-000062"/>
    <n v="420"/>
    <n v="84"/>
    <n v="504"/>
  </r>
  <r>
    <d v="2023-04-30T00:00:00"/>
    <x v="6"/>
    <s v="Gaetan"/>
    <s v="2023-04-26-000063"/>
    <n v="6412.5"/>
    <n v="1282.5"/>
    <n v="7695"/>
  </r>
  <r>
    <d v="2023-04-30T00:00:00"/>
    <x v="6"/>
    <s v="Alison"/>
    <s v="2023-04-27-000064"/>
    <n v="495"/>
    <n v="99"/>
    <n v="594"/>
  </r>
  <r>
    <d v="2023-04-28T00:00:00"/>
    <x v="0"/>
    <s v="Alison"/>
    <s v="2023-04-28-000065"/>
    <n v="2475"/>
    <n v="0"/>
    <n v="2475"/>
  </r>
  <r>
    <d v="2023-05-03T00:00:00"/>
    <x v="2"/>
    <s v="Gaetan"/>
    <s v="2023-05-03-000066"/>
    <n v="600"/>
    <n v="120"/>
    <n v="720"/>
  </r>
  <r>
    <d v="2023-05-05T00:00:00"/>
    <x v="2"/>
    <s v="Gaetan"/>
    <s v="2023-05-03-000066"/>
    <n v="600"/>
    <n v="1068.75"/>
    <n v="6412.5"/>
  </r>
  <r>
    <d v="2023-05-05T00:00:00"/>
    <x v="2"/>
    <s v="Alison"/>
    <s v="2023-05-05-000067"/>
    <n v="560"/>
    <n v="112"/>
    <n v="672"/>
  </r>
  <r>
    <d v="2023-05-11T00:00:00"/>
    <x v="0"/>
    <s v="Alison"/>
    <s v="2023-05-11-000068"/>
    <n v="1000"/>
    <n v="0"/>
    <n v="1000"/>
  </r>
  <r>
    <d v="2023-05-16T00:00:00"/>
    <x v="0"/>
    <s v="Alison"/>
    <s v="2023-05-16-000069"/>
    <n v="111.47"/>
    <n v="0"/>
    <n v="111.47"/>
  </r>
  <r>
    <d v="2023-05-22T00:00:00"/>
    <x v="1"/>
    <s v="Gaetan"/>
    <s v="2023-05-22-000070"/>
    <n v="840"/>
    <n v="168"/>
    <n v="1008"/>
  </r>
  <r>
    <d v="2023-05-22T00:00:00"/>
    <x v="2"/>
    <s v="Alison"/>
    <s v="2023-05-22-000071"/>
    <n v="750"/>
    <n v="150"/>
    <n v="900"/>
  </r>
  <r>
    <d v="2023-05-26T00:00:00"/>
    <x v="5"/>
    <s v="Alison"/>
    <s v="2023-05-26-000072"/>
    <n v="650"/>
    <n v="0"/>
    <n v="650"/>
  </r>
  <r>
    <d v="2023-05-26T00:00:00"/>
    <x v="0"/>
    <s v="Alison"/>
    <s v="2023-05-26-000073"/>
    <n v="550"/>
    <n v="0"/>
    <n v="550"/>
  </r>
  <r>
    <d v="2023-05-30T00:00:00"/>
    <x v="2"/>
    <s v="Alison"/>
    <s v="2023-05-30-000074"/>
    <n v="30"/>
    <n v="6"/>
    <n v="36"/>
  </r>
  <r>
    <d v="2023-05-31T00:00:00"/>
    <x v="7"/>
    <s v="Alison"/>
    <s v="2023-05-31-000075"/>
    <n v="3850"/>
    <n v="770"/>
    <n v="4620"/>
  </r>
  <r>
    <d v="2023-05-31T00:00:00"/>
    <x v="0"/>
    <s v="Alison"/>
    <s v="2023-05-31-000076"/>
    <n v="2700"/>
    <n v="0"/>
    <n v="2700"/>
  </r>
  <r>
    <d v="2023-05-31T00:00:00"/>
    <x v="6"/>
    <s v="Gaetan"/>
    <s v="2023-05-31-000077"/>
    <n v="5343.75"/>
    <n v="1068.75"/>
    <n v="6412.5"/>
  </r>
  <r>
    <d v="2023-06-05T00:00:00"/>
    <x v="0"/>
    <s v="Alison"/>
    <s v="2023-06-05-000078"/>
    <n v="550"/>
    <n v="0"/>
    <n v="550"/>
  </r>
  <r>
    <d v="2023-06-05T00:00:00"/>
    <x v="2"/>
    <s v="Gaetan"/>
    <s v="2023-06-05-000079"/>
    <n v="640"/>
    <n v="128"/>
    <n v="768"/>
  </r>
  <r>
    <d v="2023-06-05T00:00:00"/>
    <x v="2"/>
    <s v="Alison"/>
    <s v="2023-06-05-000080"/>
    <n v="800"/>
    <n v="160"/>
    <n v="960"/>
  </r>
  <r>
    <d v="2023-06-22T00:00:00"/>
    <x v="2"/>
    <s v="Alison"/>
    <s v="2023-06-05-000083"/>
    <n v="735"/>
    <n v="147"/>
    <n v="882"/>
  </r>
  <r>
    <d v="2023-06-09T00:00:00"/>
    <x v="0"/>
    <s v="Alison"/>
    <s v="2023-06-09-000081"/>
    <n v="1350"/>
    <n v="0"/>
    <n v="1350"/>
  </r>
  <r>
    <d v="2023-06-16T00:00:00"/>
    <x v="0"/>
    <s v="Alison"/>
    <s v="2023-06-16-000082"/>
    <n v="500"/>
    <n v="0"/>
    <n v="500"/>
  </r>
  <r>
    <d v="2023-06-22T00:00:00"/>
    <x v="2"/>
    <s v="Alison"/>
    <s v="2023-06-23-000084"/>
    <n v="60"/>
    <n v="12"/>
    <n v="72"/>
  </r>
  <r>
    <d v="2023-06-26T00:00:00"/>
    <x v="2"/>
    <s v="Alison"/>
    <s v="2023-06-26-000085"/>
    <n v="735"/>
    <n v="147"/>
    <n v="882"/>
  </r>
  <r>
    <d v="2023-06-26T00:00:00"/>
    <x v="0"/>
    <s v="Alison"/>
    <s v="2023-06-26-000086"/>
    <n v="250"/>
    <n v="0"/>
    <n v="250"/>
  </r>
  <r>
    <d v="2023-06-26T00:00:00"/>
    <x v="1"/>
    <s v="Alison"/>
    <s v="2023-06-26-000087"/>
    <n v="1008"/>
    <n v="201.60000000000002"/>
    <n v="1209.6"/>
  </r>
  <r>
    <d v="2023-06-30T00:00:00"/>
    <x v="1"/>
    <s v="Gaetan"/>
    <s v="2023-06-30-000088"/>
    <n v="1764"/>
    <n v="352.8"/>
    <n v="2116.8"/>
  </r>
  <r>
    <d v="2023-06-30T00:00:00"/>
    <x v="6"/>
    <s v="Gaetan"/>
    <s v="2023-06-30-000089"/>
    <n v="5130"/>
    <n v="1026"/>
    <n v="6156"/>
  </r>
  <r>
    <d v="2023-06-30T00:00:00"/>
    <x v="7"/>
    <s v="Alison"/>
    <s v="2023-06-30-000090"/>
    <n v="4400"/>
    <n v="880"/>
    <n v="5280"/>
  </r>
  <r>
    <d v="2023-07-05T00:00:00"/>
    <x v="2"/>
    <s v="Alison"/>
    <s v="2023-07-05-000091"/>
    <n v="1040"/>
    <n v="208"/>
    <n v="1248"/>
  </r>
  <r>
    <d v="2023-07-05T00:00:00"/>
    <x v="0"/>
    <s v="Alison"/>
    <s v="2023-07-05-000092"/>
    <n v="1600"/>
    <n v="0"/>
    <n v="1600"/>
  </r>
  <r>
    <d v="2023-07-05T00:00:00"/>
    <x v="2"/>
    <s v="Gaetan"/>
    <s v="2023-07-05-000093"/>
    <n v="910"/>
    <n v="182"/>
    <n v="1092"/>
  </r>
  <r>
    <d v="2023-07-07T00:00:00"/>
    <x v="6"/>
    <s v="Gaetan"/>
    <s v="2023-07-07-000094"/>
    <n v="1710"/>
    <n v="342"/>
    <n v="2052"/>
  </r>
  <r>
    <d v="2023-07-21T00:00:00"/>
    <x v="2"/>
    <s v="Alison"/>
    <s v="2023-07-21-000095"/>
    <n v="765"/>
    <n v="153"/>
    <n v="918"/>
  </r>
  <r>
    <d v="2023-07-21T00:00:00"/>
    <x v="2"/>
    <s v="Alison"/>
    <s v="2023-07-21-000096"/>
    <n v="330"/>
    <n v="66"/>
    <n v="396"/>
  </r>
  <r>
    <d v="2023-07-31T00:00:00"/>
    <x v="7"/>
    <s v="Alison"/>
    <s v="2023-07-31-000097"/>
    <n v="4400"/>
    <n v="880"/>
    <n v="5280"/>
  </r>
  <r>
    <d v="2023-07-31T00:00:00"/>
    <x v="8"/>
    <s v="Alison"/>
    <s v="2023-07-31-000098"/>
    <n v="2800"/>
    <n v="560"/>
    <n v="3360"/>
  </r>
  <r>
    <d v="2023-07-31T00:00:00"/>
    <x v="8"/>
    <s v="Eliana"/>
    <s v="2023-07-31-000098"/>
    <n v="4000"/>
    <n v="800"/>
    <n v="4800"/>
  </r>
  <r>
    <d v="2023-08-05T00:00:00"/>
    <x v="2"/>
    <s v="Alison"/>
    <s v="2023-08-05-000099"/>
    <n v="760"/>
    <n v="152"/>
    <n v="912"/>
  </r>
  <r>
    <d v="2023-08-05T00:00:00"/>
    <x v="2"/>
    <s v="Gaetan"/>
    <s v="2023-08-05-000100"/>
    <n v="910"/>
    <n v="182"/>
    <n v="1092"/>
  </r>
  <r>
    <d v="2023-08-14T00:00:00"/>
    <x v="2"/>
    <s v="Alison"/>
    <s v="2023-08-14-000101"/>
    <n v="40"/>
    <n v="8"/>
    <n v="48"/>
  </r>
  <r>
    <d v="2023-08-30T00:00:00"/>
    <x v="2"/>
    <s v="Alison"/>
    <s v="2023-08-30-000102"/>
    <n v="960"/>
    <n v="192"/>
    <n v="1152"/>
  </r>
  <r>
    <d v="2023-08-30T00:00:00"/>
    <x v="2"/>
    <s v="Alison"/>
    <s v="2023-08-30-000103"/>
    <n v="750"/>
    <n v="150"/>
    <n v="900"/>
  </r>
  <r>
    <d v="2023-08-31T00:00:00"/>
    <x v="9"/>
    <s v="Gaetan"/>
    <s v="2023-08-31-000104"/>
    <n v="3500"/>
    <n v="700"/>
    <n v="4200"/>
  </r>
  <r>
    <d v="2023-09-01T00:00:00"/>
    <x v="1"/>
    <s v="Gaetan"/>
    <s v="2023-09-01-000105"/>
    <n v="250"/>
    <n v="50"/>
    <n v="300"/>
  </r>
  <r>
    <d v="2023-09-05T00:00:00"/>
    <x v="2"/>
    <s v="Alison"/>
    <s v="2023-09-05-000106"/>
    <n v="680"/>
    <n v="136"/>
    <n v="816"/>
  </r>
  <r>
    <d v="2023-09-05T00:00:00"/>
    <x v="2"/>
    <s v="Gaetan"/>
    <s v="2023-09-05-000107"/>
    <n v="815"/>
    <n v="163"/>
    <n v="978"/>
  </r>
  <r>
    <d v="2023-09-26T00:00:00"/>
    <x v="2"/>
    <s v="Alison"/>
    <s v="2023-09-26-000108"/>
    <n v="600"/>
    <n v="120"/>
    <n v="720"/>
  </r>
  <r>
    <d v="2023-09-26T00:00:00"/>
    <x v="2"/>
    <s v="Alison"/>
    <s v="2023-09-26-000109"/>
    <n v="825"/>
    <n v="165"/>
    <n v="990"/>
  </r>
  <r>
    <d v="2023-09-27T00:00:00"/>
    <x v="9"/>
    <s v="Gaetan"/>
    <s v="2023-09-27-000110"/>
    <n v="6750"/>
    <n v="1350"/>
    <n v="8100"/>
  </r>
  <r>
    <d v="2023-09-30T00:00:00"/>
    <x v="7"/>
    <s v="Alison"/>
    <s v="2023-09-30-000111"/>
    <n v="4950"/>
    <n v="990"/>
    <n v="5940"/>
  </r>
  <r>
    <d v="2023-10-03T00:00:00"/>
    <x v="4"/>
    <s v="Alison"/>
    <s v="2023-10-03-000112"/>
    <n v="750"/>
    <n v="0"/>
    <n v="750"/>
  </r>
  <r>
    <d v="2023-10-05T00:00:00"/>
    <x v="2"/>
    <s v="Alison"/>
    <s v="2023-10-05-000113"/>
    <n v="1145"/>
    <n v="229"/>
    <n v="1374"/>
  </r>
  <r>
    <d v="2023-10-05T00:00:00"/>
    <x v="2"/>
    <s v="Gaetan"/>
    <s v="2023-10-06-000114"/>
    <n v="620"/>
    <n v="124"/>
    <n v="744"/>
  </r>
  <r>
    <d v="2023-10-12T00:00:00"/>
    <x v="10"/>
    <s v="Alison"/>
    <s v="2023-10-12-000115"/>
    <n v="200"/>
    <n v="40"/>
    <n v="240"/>
  </r>
  <r>
    <d v="2023-10-15T00:00:00"/>
    <x v="4"/>
    <s v="Alison"/>
    <s v="2023-10-15-000116"/>
    <n v="650"/>
    <n v="0"/>
    <n v="650"/>
  </r>
  <r>
    <d v="2023-10-25T00:00:00"/>
    <x v="9"/>
    <s v="Gaetan"/>
    <s v="2023-10-25-000117"/>
    <n v="6500"/>
    <n v="1300"/>
    <n v="7800"/>
  </r>
  <r>
    <d v="2023-10-20T00:00:00"/>
    <x v="11"/>
    <s v="Alison"/>
    <s v="2023-10-25-000118"/>
    <n v="1600"/>
    <n v="0"/>
    <n v="1600"/>
  </r>
  <r>
    <d v="2023-10-31T00:00:00"/>
    <x v="7"/>
    <s v="Alison"/>
    <s v="2023-10-25-000119"/>
    <n v="2200"/>
    <n v="440"/>
    <n v="2640"/>
  </r>
  <r>
    <d v="2023-10-27T00:00:00"/>
    <x v="2"/>
    <s v="Alison"/>
    <s v="2023-10-27-000120"/>
    <n v="795"/>
    <n v="159"/>
    <n v="954"/>
  </r>
  <r>
    <d v="2023-10-27T00:00:00"/>
    <x v="0"/>
    <s v="Alison"/>
    <s v="2023-10-27-000121"/>
    <n v="2250"/>
    <n v="0"/>
    <n v="2250"/>
  </r>
  <r>
    <d v="2023-11-07T00:00:00"/>
    <x v="2"/>
    <s v="Gaetan"/>
    <s v="2023-11-07-000122"/>
    <n v="590"/>
    <n v="118"/>
    <n v="708"/>
  </r>
  <r>
    <d v="2023-11-05T00:00:00"/>
    <x v="2"/>
    <s v="Alison"/>
    <s v="2023-11-07-000123"/>
    <n v="1255"/>
    <n v="251"/>
    <n v="1506"/>
  </r>
  <r>
    <d v="2023-11-23T00:00:00"/>
    <x v="0"/>
    <s v="Alison"/>
    <s v="2023-11-23-000124"/>
    <n v="900"/>
    <n v="0"/>
    <n v="900"/>
  </r>
  <r>
    <d v="2023-11-24T00:00:00"/>
    <x v="2"/>
    <s v="Alison"/>
    <s v="2023-11-24-000125"/>
    <n v="690"/>
    <n v="138"/>
    <n v="828"/>
  </r>
  <r>
    <d v="2023-11-14T00:00:00"/>
    <x v="11"/>
    <s v="Alison"/>
    <s v="2023-11-24-000126"/>
    <n v="800"/>
    <n v="0"/>
    <n v="800"/>
  </r>
  <r>
    <d v="2023-11-29T00:00:00"/>
    <x v="12"/>
    <s v="Alison"/>
    <s v="2023-11-29-000127"/>
    <n v="1500"/>
    <n v="0"/>
    <n v="1500"/>
  </r>
  <r>
    <d v="2023-11-30T00:00:00"/>
    <x v="9"/>
    <s v="Gaetan"/>
    <s v="2023-11-30-000128"/>
    <n v="7000"/>
    <n v="1400"/>
    <n v="8400"/>
  </r>
  <r>
    <d v="2023-12-05T00:00:00"/>
    <x v="2"/>
    <s v="Gaetan"/>
    <s v="2023-12-05-000129"/>
    <n v="420"/>
    <n v="84"/>
    <n v="504"/>
  </r>
  <r>
    <d v="2023-12-05T00:00:00"/>
    <x v="2"/>
    <s v="Alison"/>
    <s v="2023-12-05-000130"/>
    <n v="1270"/>
    <n v="254"/>
    <n v="1524"/>
  </r>
  <r>
    <d v="2023-12-15T00:00:00"/>
    <x v="0"/>
    <s v="Alison"/>
    <s v="2023-12-15-000131"/>
    <n v="2300"/>
    <n v="0"/>
    <n v="2300"/>
  </r>
  <r>
    <d v="2023-12-15T00:00:00"/>
    <x v="0"/>
    <s v="Alison"/>
    <s v="2023-12-15-000132"/>
    <n v="700"/>
    <m/>
    <n v="700"/>
  </r>
  <r>
    <d v="2023-12-22T00:00:00"/>
    <x v="2"/>
    <s v="Alison"/>
    <s v="2023-12-20-000133"/>
    <n v="525"/>
    <n v="105"/>
    <n v="630"/>
  </r>
  <r>
    <d v="2023-12-30T00:00:00"/>
    <x v="4"/>
    <s v="Alison"/>
    <s v="2023-12-20-000134"/>
    <n v="2250"/>
    <n v="0"/>
    <n v="2250"/>
  </r>
  <r>
    <d v="2023-12-31T00:00:00"/>
    <x v="9"/>
    <s v="Gaetan"/>
    <s v="2023-12-20-000135"/>
    <n v="5500"/>
    <n v="1100"/>
    <n v="6600"/>
  </r>
  <r>
    <d v="2023-12-30T00:00:00"/>
    <x v="0"/>
    <s v="Gaetan"/>
    <s v="2023-12-22-000136"/>
    <n v="1350"/>
    <n v="0"/>
    <n v="1350"/>
  </r>
  <r>
    <d v="2023-12-22T00:00:00"/>
    <x v="3"/>
    <s v="Alison"/>
    <s v="2023-12-22-000137"/>
    <n v="1200"/>
    <n v="240"/>
    <n v="1440"/>
  </r>
  <r>
    <d v="2023-12-22T00:00:00"/>
    <x v="3"/>
    <s v="Alison"/>
    <s v="2023-12-22-000153"/>
    <n v="600"/>
    <n v="120"/>
    <n v="720"/>
  </r>
  <r>
    <d v="2023-12-31T00:00:00"/>
    <x v="6"/>
    <s v="Gaetan"/>
    <m/>
    <n v="63.63"/>
    <n v="12.726"/>
    <n v="76.35600000000001"/>
  </r>
  <r>
    <d v="2023-12-31T00:00:00"/>
    <x v="6"/>
    <s v="Gaetan"/>
    <m/>
    <n v="37.5"/>
    <n v="7.5"/>
    <n v="45"/>
  </r>
  <r>
    <d v="2023-12-31T00:00:00"/>
    <x v="6"/>
    <s v="Gaetan"/>
    <m/>
    <n v="1800"/>
    <n v="360"/>
    <n v="2160"/>
  </r>
  <r>
    <d v="2023-12-31T00:00:00"/>
    <x v="6"/>
    <s v="Gaetan"/>
    <m/>
    <n v="5400"/>
    <n v="1080"/>
    <n v="6480"/>
  </r>
  <r>
    <d v="2023-12-31T00:00:00"/>
    <x v="6"/>
    <s v="Gaetan"/>
    <m/>
    <n v="5625"/>
    <n v="1125"/>
    <n v="6750"/>
  </r>
  <r>
    <d v="2023-12-31T00:00:00"/>
    <x v="6"/>
    <s v="Gaetan"/>
    <m/>
    <n v="6750"/>
    <n v="1350"/>
    <n v="8100"/>
  </r>
  <r>
    <d v="2023-12-31T00:00:00"/>
    <x v="6"/>
    <s v="Gaetan"/>
    <m/>
    <n v="6975"/>
    <n v="1395"/>
    <n v="8370"/>
  </r>
  <r>
    <d v="2023-12-31T00:00:00"/>
    <x v="6"/>
    <s v="Gaetan"/>
    <m/>
    <n v="-6626.25"/>
    <n v="-1325.25"/>
    <n v="-7951.5"/>
  </r>
  <r>
    <d v="2023-12-31T00:00:00"/>
    <x v="6"/>
    <s v="Gaetan"/>
    <m/>
    <n v="-6412.5"/>
    <n v="-1282.5"/>
    <n v="-7695"/>
  </r>
  <r>
    <d v="2023-12-31T00:00:00"/>
    <x v="6"/>
    <s v="Gaetan"/>
    <m/>
    <n v="-550"/>
    <n v="-110"/>
    <n v="-660"/>
  </r>
  <r>
    <d v="2023-12-31T00:00:00"/>
    <x v="6"/>
    <s v="Gaetan"/>
    <m/>
    <n v="-5343.75"/>
    <n v="-1068.75"/>
    <n v="-6412.5"/>
  </r>
  <r>
    <d v="2023-12-31T00:00:00"/>
    <x v="6"/>
    <s v="Gaetan"/>
    <m/>
    <n v="-5130"/>
    <n v="-1026"/>
    <n v="-6156"/>
  </r>
  <r>
    <d v="2023-12-31T00:00:00"/>
    <x v="6"/>
    <s v="Gaetan"/>
    <m/>
    <n v="-1710"/>
    <n v="-342"/>
    <n v="-2052"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n v="792"/>
  </r>
  <r>
    <m/>
    <x v="13"/>
    <m/>
    <m/>
    <m/>
    <m/>
    <n v="1416"/>
  </r>
  <r>
    <m/>
    <x v="13"/>
    <m/>
    <m/>
    <m/>
    <m/>
    <n v="1116"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2">
  <r>
    <d v="2022-10-31T00:00:00"/>
    <s v="Simplon"/>
    <x v="0"/>
    <n v="202110005"/>
    <n v="60"/>
    <n v="0"/>
    <n v="60"/>
  </r>
  <r>
    <d v="2022-10-31T00:00:00"/>
    <s v="Simplon"/>
    <x v="0"/>
    <n v="202110006"/>
    <n v="3600"/>
    <n v="0"/>
    <n v="3600"/>
  </r>
  <r>
    <d v="2022-10-01T00:00:00"/>
    <s v="Digital Campus"/>
    <x v="1"/>
    <n v="202209002"/>
    <n v="1092"/>
    <n v="218.4"/>
    <n v="1310.4"/>
  </r>
  <r>
    <d v="2022-10-13T00:00:00"/>
    <s v="OpenClassrooms"/>
    <x v="0"/>
    <n v="202210001"/>
    <n v="375"/>
    <n v="75"/>
    <n v="450"/>
  </r>
  <r>
    <d v="2022-10-20T00:00:00"/>
    <s v="OpenClassrooms"/>
    <x v="0"/>
    <n v="202210002"/>
    <n v="200"/>
    <n v="40"/>
    <n v="240"/>
  </r>
  <r>
    <d v="2022-10-28T00:00:00"/>
    <s v="Vicinity"/>
    <x v="1"/>
    <n v="202210003"/>
    <n v="7200"/>
    <n v="1440"/>
    <n v="8640"/>
  </r>
  <r>
    <d v="2022-10-28T00:00:00"/>
    <s v="Digital Campus"/>
    <x v="1"/>
    <n v="202210004"/>
    <n v="336"/>
    <n v="67.2"/>
    <n v="403.2"/>
  </r>
  <r>
    <d v="2022-11-03T00:00:00"/>
    <s v="Sparks"/>
    <x v="0"/>
    <n v="202211001"/>
    <n v="650"/>
    <n v="0"/>
    <n v="650"/>
  </r>
  <r>
    <d v="2022-11-07T00:00:00"/>
    <s v="OpenClassrooms"/>
    <x v="1"/>
    <n v="202211002"/>
    <n v="640"/>
    <n v="128"/>
    <n v="768"/>
  </r>
  <r>
    <d v="2022-11-07T00:00:00"/>
    <s v="OpenClassrooms"/>
    <x v="0"/>
    <n v="202211003"/>
    <n v="1295"/>
    <n v="259"/>
    <n v="1554"/>
  </r>
  <r>
    <d v="2022-11-10T00:00:00"/>
    <s v="OpenClassrooms"/>
    <x v="0"/>
    <n v="202211004"/>
    <n v="375"/>
    <n v="75"/>
    <n v="450"/>
  </r>
  <r>
    <d v="2022-11-28T00:00:00"/>
    <s v="OpenClassrooms"/>
    <x v="0"/>
    <s v="2022-11-28-000012"/>
    <n v="200"/>
    <n v="40"/>
    <n v="240"/>
  </r>
  <r>
    <d v="2022-11-30T00:00:00"/>
    <s v="Vicinity"/>
    <x v="1"/>
    <s v="2022-11-30-000013"/>
    <n v="4050"/>
    <n v="810"/>
    <n v="4860"/>
  </r>
  <r>
    <d v="2022-11-30T00:00:00"/>
    <s v="Digital Campus"/>
    <x v="1"/>
    <s v="2022-11-30-000014"/>
    <n v="1260"/>
    <n v="252"/>
    <n v="1512"/>
  </r>
  <r>
    <d v="2022-12-05T00:00:00"/>
    <s v="OpenClassrooms"/>
    <x v="0"/>
    <s v="2022-11-30-000020"/>
    <n v="375"/>
    <n v="75"/>
    <n v="450"/>
  </r>
  <r>
    <d v="2022-12-01T00:00:00"/>
    <s v="Simplon"/>
    <x v="0"/>
    <s v="2022-12-01-000015"/>
    <n v="4500"/>
    <n v="0"/>
    <n v="4500"/>
  </r>
  <r>
    <d v="2022-12-04T00:00:00"/>
    <s v="Sparks"/>
    <x v="0"/>
    <s v="2022-12-04-000016"/>
    <n v="750"/>
    <n v="0"/>
    <n v="750"/>
  </r>
  <r>
    <d v="2022-12-05T00:00:00"/>
    <s v="OpenClassrooms"/>
    <x v="1"/>
    <s v="2022-12-05-000017"/>
    <n v="560"/>
    <n v="112"/>
    <n v="672"/>
  </r>
  <r>
    <d v="2022-12-05T00:00:00"/>
    <s v="OpenClassrooms"/>
    <x v="0"/>
    <s v="2022-12-05-000018"/>
    <n v="1115"/>
    <n v="223"/>
    <n v="1338"/>
  </r>
  <r>
    <d v="2022-12-06T00:00:00"/>
    <s v="OpenClassrooms"/>
    <x v="0"/>
    <s v="2022-12-06-000019"/>
    <n v="15"/>
    <n v="3"/>
    <n v="18"/>
  </r>
  <r>
    <d v="2022-12-20T00:00:00"/>
    <s v="PLB"/>
    <x v="0"/>
    <s v="2022-12-20-000021"/>
    <n v="250"/>
    <n v="50"/>
    <n v="300"/>
  </r>
  <r>
    <d v="2022-12-20T00:00:00"/>
    <s v="Simplon"/>
    <x v="0"/>
    <s v="2022-12-20-000022"/>
    <n v="2700"/>
    <n v="0"/>
    <n v="2700"/>
  </r>
  <r>
    <d v="2022-12-20T00:00:00"/>
    <s v="OpenClassrooms"/>
    <x v="1"/>
    <s v="2022-12-20-000025"/>
    <n v="560"/>
    <n v="112"/>
    <n v="672"/>
  </r>
  <r>
    <d v="2022-12-22T00:00:00"/>
    <s v="Digital Campus"/>
    <x v="1"/>
    <s v="2022-12-22-000023"/>
    <n v="420"/>
    <n v="84"/>
    <n v="504"/>
  </r>
  <r>
    <d v="2022-12-22T00:00:00"/>
    <s v="Vicinity"/>
    <x v="1"/>
    <s v="2022-12-22-000024"/>
    <n v="6300"/>
    <n v="1260"/>
    <n v="7560"/>
  </r>
  <r>
    <d v="2022-12-24T00:00:00"/>
    <s v="OpenClassrooms"/>
    <x v="0"/>
    <s v="2022-12-24-000026"/>
    <n v="250"/>
    <n v="50"/>
    <n v="300"/>
  </r>
  <r>
    <d v="2023-01-01T00:00:00"/>
    <s v="OpenClassrooms"/>
    <x v="0"/>
    <s v="2023-01-01-000027"/>
    <n v="375"/>
    <n v="75"/>
    <n v="450"/>
  </r>
  <r>
    <d v="2023-01-09T00:00:00"/>
    <s v="OpenClassrooms"/>
    <x v="0"/>
    <s v="2023-01-01-000029"/>
    <n v="375"/>
    <n v="75"/>
    <n v="450"/>
  </r>
  <r>
    <d v="2023-01-06T00:00:00"/>
    <s v="OpenClassrooms"/>
    <x v="0"/>
    <s v="2023-01-06-000028"/>
    <n v="605"/>
    <n v="121"/>
    <n v="726"/>
  </r>
  <r>
    <d v="2023-01-20T00:00:00"/>
    <s v="Simplon"/>
    <x v="1"/>
    <s v="2023-01-20-000030"/>
    <n v="1350"/>
    <n v="0"/>
    <n v="1350"/>
  </r>
  <r>
    <d v="2023-01-30T00:00:00"/>
    <s v="Digital Campus"/>
    <x v="1"/>
    <s v="2023-01-30-000031"/>
    <n v="1620"/>
    <n v="324"/>
    <n v="1944"/>
  </r>
  <r>
    <d v="2023-01-30T00:00:00"/>
    <s v="Vicinity"/>
    <x v="1"/>
    <s v="2023-01-30-000032"/>
    <n v="5400"/>
    <n v="1080"/>
    <n v="6480"/>
  </r>
  <r>
    <d v="2023-01-30T00:00:00"/>
    <s v="OpenClassrooms"/>
    <x v="0"/>
    <s v="2023-01-30-000033"/>
    <n v="750"/>
    <n v="150"/>
    <n v="900"/>
  </r>
  <r>
    <d v="2023-01-31T00:00:00"/>
    <s v="Simplon"/>
    <x v="0"/>
    <s v="2023-01-31-000034"/>
    <n v="4050"/>
    <n v="0"/>
    <n v="4050"/>
  </r>
  <r>
    <d v="2023-02-03T00:00:00"/>
    <s v="OpenClassrooms"/>
    <x v="1"/>
    <s v="2023-02-03-000035"/>
    <n v="700"/>
    <n v="140"/>
    <n v="840"/>
  </r>
  <r>
    <d v="2023-02-05T00:00:00"/>
    <s v="OpenClassrooms"/>
    <x v="0"/>
    <s v="2023-02-03-000036"/>
    <n v="1390"/>
    <n v="278"/>
    <n v="1668"/>
  </r>
  <r>
    <d v="2023-02-23T00:00:00"/>
    <s v="OpenClassrooms"/>
    <x v="0"/>
    <s v="2023-02-03-000037"/>
    <n v="390"/>
    <n v="78"/>
    <n v="468"/>
  </r>
  <r>
    <d v="2023-02-23T00:00:00"/>
    <s v="Digital Campus"/>
    <x v="1"/>
    <s v="2023-02-23-000038"/>
    <n v="504"/>
    <n v="100.80000000000001"/>
    <n v="604.8"/>
  </r>
  <r>
    <d v="2023-02-23T00:00:00"/>
    <s v="Vicinity"/>
    <x v="1"/>
    <s v="2023-02-23-000039"/>
    <n v="5850"/>
    <n v="1170"/>
    <n v="7020"/>
  </r>
  <r>
    <d v="2023-02-27T00:00:00"/>
    <s v="OpenClassrooms"/>
    <x v="0"/>
    <s v="2023-02-27-000040"/>
    <n v="350"/>
    <n v="70"/>
    <n v="420"/>
  </r>
  <r>
    <d v="2023-02-28T00:00:00"/>
    <s v="Simplon"/>
    <x v="0"/>
    <s v="2023-02-28-000041"/>
    <n v="2025"/>
    <n v="0"/>
    <n v="2025"/>
  </r>
  <r>
    <d v="2023-03-02T00:00:00"/>
    <s v="OpenClassrooms"/>
    <x v="0"/>
    <s v="2023-03-02-000042"/>
    <n v="150"/>
    <n v="30"/>
    <n v="180"/>
  </r>
  <r>
    <d v="2023-03-05T00:00:00"/>
    <s v="Vicinity"/>
    <x v="1"/>
    <s v="2023-03-05-000043"/>
    <n v="1350"/>
    <n v="270"/>
    <n v="1620"/>
  </r>
  <r>
    <d v="2023-03-06T00:00:00"/>
    <s v="OpenClassrooms"/>
    <x v="0"/>
    <s v="2023-03-06-000044"/>
    <n v="1032.5"/>
    <n v="206.5"/>
    <n v="1239"/>
  </r>
  <r>
    <d v="2023-03-06T00:00:00"/>
    <s v="OpenClassrooms"/>
    <x v="1"/>
    <s v="2023-03-06-000045"/>
    <n v="830"/>
    <n v="166"/>
    <n v="996"/>
  </r>
  <r>
    <d v="2023-03-07T00:00:00"/>
    <s v="Sparks"/>
    <x v="0"/>
    <s v="2023-03-07-000046"/>
    <n v="750"/>
    <n v="0"/>
    <n v="750"/>
  </r>
  <r>
    <d v="2023-03-07T00:00:00"/>
    <s v="OpenClassrooms"/>
    <x v="0"/>
    <s v="2023-03-07-000047"/>
    <n v="405"/>
    <n v="81"/>
    <n v="486"/>
  </r>
  <r>
    <d v="2023-03-17T00:00:00"/>
    <s v="Digital Campus"/>
    <x v="1"/>
    <s v="2023-03-17-000048"/>
    <n v="756"/>
    <n v="151.20000000000002"/>
    <n v="907.2"/>
  </r>
  <r>
    <d v="2023-03-22T00:00:00"/>
    <s v="Simplon"/>
    <x v="0"/>
    <s v="2023-03-22-000049"/>
    <n v="2200"/>
    <n v="0"/>
    <n v="2200"/>
  </r>
  <r>
    <d v="2023-03-22T00:00:00"/>
    <s v="Simplon"/>
    <x v="1"/>
    <s v="2023-03-22-000050"/>
    <n v="450"/>
    <n v="0"/>
    <n v="450"/>
  </r>
  <r>
    <d v="2023-03-27T00:00:00"/>
    <s v="OpenClassrooms"/>
    <x v="0"/>
    <s v="2023-03-27-000051"/>
    <n v="250"/>
    <n v="50"/>
    <n v="300"/>
  </r>
  <r>
    <d v="2023-03-29T00:00:00"/>
    <s v="OpenClassrooms"/>
    <x v="0"/>
    <s v="2023-03-29-000052"/>
    <n v="300"/>
    <n v="60"/>
    <n v="360"/>
  </r>
  <r>
    <d v="2023-03-29T00:00:00"/>
    <s v="OpenClassrooms"/>
    <x v="0"/>
    <s v="2023-03-29-000053"/>
    <n v="375"/>
    <n v="75"/>
    <n v="450"/>
  </r>
  <r>
    <d v="2023-03-29T00:00:00"/>
    <s v="Simplon"/>
    <x v="0"/>
    <s v="2023-03-29-000054"/>
    <n v="2700"/>
    <n v="0"/>
    <n v="2700"/>
  </r>
  <r>
    <d v="2023-03-31T00:00:00"/>
    <s v="Malt"/>
    <x v="1"/>
    <s v="2023-03-31-000055"/>
    <n v="6626.25"/>
    <n v="1325.25"/>
    <n v="7951.5"/>
  </r>
  <r>
    <d v="2023-03-31T00:00:00"/>
    <s v="Sparks"/>
    <x v="0"/>
    <s v="2023-03-31-000056"/>
    <n v="1500"/>
    <n v="0"/>
    <n v="1500"/>
  </r>
  <r>
    <d v="2023-04-05T00:00:00"/>
    <s v="OpenClassrooms"/>
    <x v="1"/>
    <s v="2023-04-05-000057"/>
    <n v="880"/>
    <n v="176"/>
    <n v="1056"/>
  </r>
  <r>
    <d v="2023-04-05T00:00:00"/>
    <s v="OpenClassrooms"/>
    <x v="0"/>
    <s v="2023-04-06-000058"/>
    <n v="725"/>
    <n v="145"/>
    <n v="870"/>
  </r>
  <r>
    <d v="2023-04-24T00:00:00"/>
    <s v="Simplon"/>
    <x v="0"/>
    <s v="2023-04-24-000059"/>
    <n v="5880"/>
    <n v="176"/>
    <n v="6056"/>
  </r>
  <r>
    <d v="2023-04-25T00:00:00"/>
    <s v="OpenClassrooms"/>
    <x v="0"/>
    <s v="2023-04-25-000060"/>
    <n v="825"/>
    <n v="165"/>
    <n v="990"/>
  </r>
  <r>
    <d v="2023-04-25T00:00:00"/>
    <s v="OpenClassrooms"/>
    <x v="0"/>
    <s v="2023-04-25-000061"/>
    <n v="180"/>
    <n v="36"/>
    <n v="216"/>
  </r>
  <r>
    <d v="2023-04-26T00:00:00"/>
    <s v="Digital Campus"/>
    <x v="1"/>
    <s v="2023-04-26-000062"/>
    <n v="420"/>
    <n v="84"/>
    <n v="504"/>
  </r>
  <r>
    <d v="2023-04-30T00:00:00"/>
    <s v="Malt"/>
    <x v="1"/>
    <s v="2023-04-26-000063"/>
    <n v="6412.5"/>
    <n v="1282.5"/>
    <n v="7695"/>
  </r>
  <r>
    <d v="2023-04-30T00:00:00"/>
    <s v="Malt"/>
    <x v="0"/>
    <s v="2023-04-27-000064"/>
    <n v="495"/>
    <n v="99"/>
    <n v="594"/>
  </r>
  <r>
    <d v="2023-04-28T00:00:00"/>
    <s v="Simplon"/>
    <x v="0"/>
    <s v="2023-04-28-000065"/>
    <n v="2475"/>
    <n v="0"/>
    <n v="2475"/>
  </r>
  <r>
    <d v="2023-05-03T00:00:00"/>
    <s v="OpenClassrooms"/>
    <x v="1"/>
    <s v="2023-05-03-000066"/>
    <n v="600"/>
    <n v="120"/>
    <n v="720"/>
  </r>
  <r>
    <d v="2023-05-05T00:00:00"/>
    <s v="OpenClassrooms"/>
    <x v="1"/>
    <s v="2023-05-03-000066"/>
    <n v="600"/>
    <n v="1068.75"/>
    <n v="6412.5"/>
  </r>
  <r>
    <d v="2023-05-05T00:00:00"/>
    <s v="OpenClassrooms"/>
    <x v="0"/>
    <s v="2023-05-05-000067"/>
    <n v="560"/>
    <n v="112"/>
    <n v="672"/>
  </r>
  <r>
    <d v="2023-05-11T00:00:00"/>
    <s v="Simplon"/>
    <x v="0"/>
    <s v="2023-05-11-000068"/>
    <n v="1000"/>
    <n v="0"/>
    <n v="1000"/>
  </r>
  <r>
    <d v="2023-05-16T00:00:00"/>
    <s v="Simplon"/>
    <x v="0"/>
    <s v="2023-05-16-000069"/>
    <n v="111.47"/>
    <n v="0"/>
    <n v="111.47"/>
  </r>
  <r>
    <d v="2023-05-22T00:00:00"/>
    <s v="Digital Campus"/>
    <x v="1"/>
    <s v="2023-05-22-000070"/>
    <n v="840"/>
    <n v="168"/>
    <n v="1008"/>
  </r>
  <r>
    <d v="2023-05-22T00:00:00"/>
    <s v="OpenClassrooms"/>
    <x v="0"/>
    <s v="2023-05-22-000071"/>
    <n v="750"/>
    <n v="150"/>
    <n v="900"/>
  </r>
  <r>
    <d v="2023-05-26T00:00:00"/>
    <s v="PLB"/>
    <x v="0"/>
    <s v="2023-05-26-000072"/>
    <n v="650"/>
    <n v="0"/>
    <n v="650"/>
  </r>
  <r>
    <d v="2023-05-26T00:00:00"/>
    <s v="Simplon"/>
    <x v="0"/>
    <s v="2023-05-26-000073"/>
    <n v="550"/>
    <n v="0"/>
    <n v="550"/>
  </r>
  <r>
    <d v="2023-05-30T00:00:00"/>
    <s v="OpenClassrooms"/>
    <x v="0"/>
    <s v="2023-05-30-000074"/>
    <n v="30"/>
    <n v="6"/>
    <n v="36"/>
  </r>
  <r>
    <d v="2023-05-31T00:00:00"/>
    <s v="C-Libre"/>
    <x v="0"/>
    <s v="2023-05-31-000075"/>
    <n v="3850"/>
    <n v="770"/>
    <n v="4620"/>
  </r>
  <r>
    <d v="2023-05-31T00:00:00"/>
    <s v="Simplon"/>
    <x v="0"/>
    <s v="2023-05-31-000076"/>
    <n v="2700"/>
    <n v="0"/>
    <n v="2700"/>
  </r>
  <r>
    <d v="2023-05-31T00:00:00"/>
    <s v="Malt"/>
    <x v="1"/>
    <s v="2023-05-31-000077"/>
    <n v="5343.75"/>
    <n v="1068.75"/>
    <n v="6412.5"/>
  </r>
  <r>
    <d v="2023-06-05T00:00:00"/>
    <s v="Simplon"/>
    <x v="0"/>
    <s v="2023-06-05-000078"/>
    <n v="550"/>
    <n v="0"/>
    <n v="550"/>
  </r>
  <r>
    <d v="2023-06-05T00:00:00"/>
    <s v="OpenClassrooms"/>
    <x v="1"/>
    <s v="2023-06-05-000079"/>
    <n v="640"/>
    <n v="128"/>
    <n v="768"/>
  </r>
  <r>
    <d v="2023-06-05T00:00:00"/>
    <s v="OpenClassrooms"/>
    <x v="0"/>
    <s v="2023-06-05-000080"/>
    <n v="800"/>
    <n v="160"/>
    <n v="960"/>
  </r>
  <r>
    <d v="2023-06-22T00:00:00"/>
    <s v="OpenClassrooms"/>
    <x v="0"/>
    <s v="2023-06-05-000083"/>
    <n v="735"/>
    <n v="147"/>
    <n v="882"/>
  </r>
  <r>
    <d v="2023-06-09T00:00:00"/>
    <s v="Simplon"/>
    <x v="0"/>
    <s v="2023-06-09-000081"/>
    <n v="1350"/>
    <n v="0"/>
    <n v="1350"/>
  </r>
  <r>
    <d v="2023-06-16T00:00:00"/>
    <s v="Simplon"/>
    <x v="0"/>
    <s v="2023-06-16-000082"/>
    <n v="500"/>
    <n v="0"/>
    <n v="500"/>
  </r>
  <r>
    <d v="2023-06-22T00:00:00"/>
    <s v="OpenClassrooms"/>
    <x v="0"/>
    <s v="2023-06-23-000084"/>
    <n v="60"/>
    <n v="12"/>
    <n v="72"/>
  </r>
  <r>
    <d v="2023-06-26T00:00:00"/>
    <s v="OpenClassrooms"/>
    <x v="0"/>
    <s v="2023-06-26-000085"/>
    <n v="735"/>
    <n v="147"/>
    <n v="882"/>
  </r>
  <r>
    <d v="2023-06-26T00:00:00"/>
    <s v="Simplon"/>
    <x v="0"/>
    <s v="2023-06-26-000086"/>
    <n v="250"/>
    <n v="0"/>
    <n v="250"/>
  </r>
  <r>
    <d v="2023-06-26T00:00:00"/>
    <s v="Digital Campus"/>
    <x v="0"/>
    <s v="2023-06-26-000087"/>
    <n v="1008"/>
    <n v="201.60000000000002"/>
    <n v="1209.6"/>
  </r>
  <r>
    <d v="2023-06-30T00:00:00"/>
    <s v="Digital Campus"/>
    <x v="1"/>
    <s v="2023-06-30-000088"/>
    <n v="1764"/>
    <n v="352.8"/>
    <n v="2116.8"/>
  </r>
  <r>
    <d v="2023-06-30T00:00:00"/>
    <s v="Malt"/>
    <x v="1"/>
    <s v="2023-06-30-000089"/>
    <n v="5130"/>
    <n v="1026"/>
    <n v="6156"/>
  </r>
  <r>
    <d v="2023-06-30T00:00:00"/>
    <s v="C-Libre"/>
    <x v="0"/>
    <s v="2023-06-30-000090"/>
    <n v="4400"/>
    <n v="880"/>
    <n v="5280"/>
  </r>
  <r>
    <d v="2023-07-05T00:00:00"/>
    <s v="OpenClassrooms"/>
    <x v="0"/>
    <s v="2023-07-05-000091"/>
    <n v="1040"/>
    <n v="208"/>
    <n v="1248"/>
  </r>
  <r>
    <d v="2023-07-05T00:00:00"/>
    <s v="Simplon"/>
    <x v="0"/>
    <s v="2023-07-05-000092"/>
    <n v="1600"/>
    <n v="0"/>
    <n v="1600"/>
  </r>
  <r>
    <d v="2023-07-05T00:00:00"/>
    <s v="OpenClassrooms"/>
    <x v="1"/>
    <s v="2023-07-05-000093"/>
    <n v="910"/>
    <n v="182"/>
    <n v="1092"/>
  </r>
  <r>
    <d v="2023-07-07T00:00:00"/>
    <s v="Malt"/>
    <x v="1"/>
    <s v="2023-07-07-000094"/>
    <n v="1710"/>
    <n v="342"/>
    <n v="2052"/>
  </r>
  <r>
    <d v="2023-07-21T00:00:00"/>
    <s v="OpenClassrooms"/>
    <x v="0"/>
    <s v="2023-07-21-000095"/>
    <n v="765"/>
    <n v="153"/>
    <n v="918"/>
  </r>
  <r>
    <d v="2023-07-21T00:00:00"/>
    <s v="OpenClassrooms"/>
    <x v="0"/>
    <s v="2023-07-21-000096"/>
    <n v="330"/>
    <n v="66"/>
    <n v="396"/>
  </r>
  <r>
    <d v="2023-07-31T00:00:00"/>
    <s v="C-Libre"/>
    <x v="0"/>
    <s v="2023-07-31-000097"/>
    <n v="4400"/>
    <n v="880"/>
    <n v="5280"/>
  </r>
  <r>
    <d v="2023-07-31T00:00:00"/>
    <s v="Widip"/>
    <x v="0"/>
    <s v="2023-07-31-000098"/>
    <n v="2800"/>
    <n v="560"/>
    <n v="3360"/>
  </r>
  <r>
    <d v="2023-07-31T00:00:00"/>
    <s v="Widip"/>
    <x v="2"/>
    <s v="2023-07-31-000098"/>
    <n v="4000"/>
    <n v="800"/>
    <n v="4800"/>
  </r>
  <r>
    <d v="2023-08-05T00:00:00"/>
    <s v="OpenClassrooms"/>
    <x v="0"/>
    <s v="2023-08-05-000099"/>
    <n v="760"/>
    <n v="152"/>
    <n v="912"/>
  </r>
  <r>
    <d v="2023-08-05T00:00:00"/>
    <s v="OpenClassrooms"/>
    <x v="1"/>
    <s v="2023-08-05-000100"/>
    <n v="910"/>
    <n v="182"/>
    <n v="1092"/>
  </r>
  <r>
    <d v="2023-08-14T00:00:00"/>
    <s v="OpenClassrooms"/>
    <x v="0"/>
    <s v="2023-08-14-000101"/>
    <n v="40"/>
    <n v="8"/>
    <n v="48"/>
  </r>
  <r>
    <d v="2023-08-30T00:00:00"/>
    <s v="OpenClassrooms"/>
    <x v="0"/>
    <s v="2023-08-30-000102"/>
    <n v="960"/>
    <n v="192"/>
    <n v="1152"/>
  </r>
  <r>
    <d v="2023-08-30T00:00:00"/>
    <s v="OpenClassrooms"/>
    <x v="0"/>
    <s v="2023-08-30-000103"/>
    <n v="750"/>
    <n v="150"/>
    <n v="900"/>
  </r>
  <r>
    <d v="2023-08-31T00:00:00"/>
    <s v="Aleysia"/>
    <x v="1"/>
    <s v="2023-08-31-000104"/>
    <n v="3500"/>
    <n v="700"/>
    <n v="4200"/>
  </r>
  <r>
    <d v="2023-09-01T00:00:00"/>
    <s v="Digital Campus"/>
    <x v="1"/>
    <s v="2023-09-01-000105"/>
    <n v="250"/>
    <n v="50"/>
    <n v="300"/>
  </r>
  <r>
    <d v="2023-09-05T00:00:00"/>
    <s v="OpenClassrooms"/>
    <x v="0"/>
    <s v="2023-09-05-000106"/>
    <n v="680"/>
    <n v="136"/>
    <n v="816"/>
  </r>
  <r>
    <d v="2023-09-05T00:00:00"/>
    <s v="OpenClassrooms"/>
    <x v="1"/>
    <s v="2023-09-05-000107"/>
    <n v="815"/>
    <n v="163"/>
    <n v="978"/>
  </r>
  <r>
    <d v="2023-09-26T00:00:00"/>
    <s v="OpenClassrooms"/>
    <x v="0"/>
    <s v="2023-09-26-000108"/>
    <n v="600"/>
    <n v="120"/>
    <n v="720"/>
  </r>
  <r>
    <d v="2023-09-26T00:00:00"/>
    <s v="OpenClassrooms"/>
    <x v="0"/>
    <s v="2023-09-26-000109"/>
    <n v="825"/>
    <n v="165"/>
    <n v="990"/>
  </r>
  <r>
    <d v="2023-09-27T00:00:00"/>
    <s v="Aleysia"/>
    <x v="1"/>
    <s v="2023-09-27-000110"/>
    <n v="6750"/>
    <n v="1350"/>
    <n v="8100"/>
  </r>
  <r>
    <d v="2023-09-30T00:00:00"/>
    <s v="C-Libre"/>
    <x v="0"/>
    <s v="2023-09-30-000111"/>
    <n v="4950"/>
    <n v="990"/>
    <n v="5940"/>
  </r>
  <r>
    <d v="2023-10-03T00:00:00"/>
    <s v="Sparks"/>
    <x v="0"/>
    <s v="2023-10-03-000112"/>
    <n v="750"/>
    <n v="0"/>
    <n v="750"/>
  </r>
  <r>
    <d v="2023-10-05T00:00:00"/>
    <s v="OpenClassrooms"/>
    <x v="0"/>
    <s v="2023-10-05-000113"/>
    <n v="1145"/>
    <n v="229"/>
    <n v="1374"/>
  </r>
  <r>
    <d v="2023-10-05T00:00:00"/>
    <s v="OpenClassrooms"/>
    <x v="1"/>
    <s v="2023-10-06-000114"/>
    <n v="620"/>
    <n v="124"/>
    <n v="744"/>
  </r>
  <r>
    <d v="2023-10-12T00:00:00"/>
    <s v="GTech"/>
    <x v="0"/>
    <s v="2023-10-12-000115"/>
    <n v="200"/>
    <n v="40"/>
    <n v="240"/>
  </r>
  <r>
    <d v="2023-10-15T00:00:00"/>
    <s v="Sparks"/>
    <x v="0"/>
    <s v="2023-10-15-000116"/>
    <n v="650"/>
    <n v="0"/>
    <n v="650"/>
  </r>
  <r>
    <d v="2023-10-25T00:00:00"/>
    <s v="Aleysia"/>
    <x v="1"/>
    <s v="2023-10-25-000117"/>
    <n v="6500"/>
    <n v="1300"/>
    <n v="7800"/>
  </r>
  <r>
    <d v="2023-10-20T00:00:00"/>
    <s v="TGV Lyria"/>
    <x v="0"/>
    <s v="2023-10-25-000118"/>
    <n v="1600"/>
    <n v="0"/>
    <n v="1600"/>
  </r>
  <r>
    <d v="2023-10-31T00:00:00"/>
    <s v="C-Libre"/>
    <x v="0"/>
    <s v="2023-10-25-000119"/>
    <n v="2200"/>
    <n v="440"/>
    <n v="2640"/>
  </r>
  <r>
    <d v="2023-10-27T00:00:00"/>
    <s v="OpenClassrooms"/>
    <x v="0"/>
    <s v="2023-10-27-000120"/>
    <n v="795"/>
    <n v="159"/>
    <n v="954"/>
  </r>
  <r>
    <d v="2023-10-27T00:00:00"/>
    <s v="Simplon"/>
    <x v="0"/>
    <s v="2023-10-27-000121"/>
    <n v="2250"/>
    <n v="0"/>
    <n v="2250"/>
  </r>
  <r>
    <d v="2023-11-07T00:00:00"/>
    <s v="OpenClassrooms"/>
    <x v="1"/>
    <s v="2023-11-07-000122"/>
    <n v="590"/>
    <n v="118"/>
    <n v="708"/>
  </r>
  <r>
    <d v="2023-11-05T00:00:00"/>
    <s v="OpenClassrooms"/>
    <x v="0"/>
    <s v="2023-11-07-000123"/>
    <n v="1255"/>
    <n v="251"/>
    <n v="1506"/>
  </r>
  <r>
    <d v="2023-11-23T00:00:00"/>
    <s v="Simplon"/>
    <x v="0"/>
    <s v="2023-11-23-000124"/>
    <n v="900"/>
    <n v="0"/>
    <n v="900"/>
  </r>
  <r>
    <d v="2023-11-24T00:00:00"/>
    <s v="OpenClassrooms"/>
    <x v="0"/>
    <s v="2023-11-24-000125"/>
    <n v="690"/>
    <n v="138"/>
    <n v="828"/>
  </r>
  <r>
    <d v="2023-11-14T00:00:00"/>
    <s v="TGV Lyria"/>
    <x v="0"/>
    <s v="2023-11-24-000126"/>
    <n v="800"/>
    <n v="0"/>
    <n v="800"/>
  </r>
  <r>
    <d v="2023-11-29T00:00:00"/>
    <s v="GCD"/>
    <x v="0"/>
    <s v="2023-11-29-000127"/>
    <n v="1500"/>
    <n v="0"/>
    <n v="1500"/>
  </r>
  <r>
    <d v="2023-11-30T00:00:00"/>
    <s v="Aleysia"/>
    <x v="1"/>
    <s v="2023-11-30-000128"/>
    <n v="7000"/>
    <n v="1400"/>
    <n v="8400"/>
  </r>
  <r>
    <d v="2023-12-05T00:00:00"/>
    <s v="OpenClassrooms"/>
    <x v="1"/>
    <s v="2023-12-05-000129"/>
    <n v="420"/>
    <n v="84"/>
    <n v="504"/>
  </r>
  <r>
    <d v="2023-12-05T00:00:00"/>
    <s v="OpenClassrooms"/>
    <x v="0"/>
    <s v="2023-12-05-000130"/>
    <n v="1270"/>
    <n v="254"/>
    <n v="1524"/>
  </r>
  <r>
    <d v="2023-12-15T00:00:00"/>
    <s v="Simplon"/>
    <x v="0"/>
    <s v="2023-12-15-000131"/>
    <n v="2300"/>
    <n v="0"/>
    <n v="2300"/>
  </r>
  <r>
    <d v="2023-12-15T00:00:00"/>
    <s v="Simplon"/>
    <x v="0"/>
    <s v="2023-12-15-000132"/>
    <n v="700"/>
    <m/>
    <n v="700"/>
  </r>
  <r>
    <d v="2023-12-22T00:00:00"/>
    <s v="OpenClassrooms"/>
    <x v="0"/>
    <s v="2023-12-20-000133"/>
    <n v="525"/>
    <n v="105"/>
    <n v="630"/>
  </r>
  <r>
    <d v="2023-12-30T00:00:00"/>
    <s v="Sparks"/>
    <x v="0"/>
    <s v="2023-12-20-000134"/>
    <n v="2250"/>
    <n v="0"/>
    <n v="2250"/>
  </r>
  <r>
    <d v="2023-12-31T00:00:00"/>
    <s v="Aleysia"/>
    <x v="1"/>
    <s v="2023-12-20-000135"/>
    <n v="5500"/>
    <n v="1100"/>
    <n v="6600"/>
  </r>
  <r>
    <d v="2023-12-30T00:00:00"/>
    <s v="Simplon"/>
    <x v="1"/>
    <s v="2023-12-22-000136"/>
    <n v="1350"/>
    <n v="0"/>
    <n v="1350"/>
  </r>
  <r>
    <d v="2023-12-22T00:00:00"/>
    <s v="Vicinity"/>
    <x v="0"/>
    <s v="2023-12-22-000137"/>
    <n v="1200"/>
    <n v="240"/>
    <n v="1440"/>
  </r>
  <r>
    <d v="2023-12-22T00:00:00"/>
    <s v="Vicinity"/>
    <x v="0"/>
    <s v="2023-12-22-000153"/>
    <n v="600"/>
    <n v="120"/>
    <n v="720"/>
  </r>
  <r>
    <d v="2023-12-31T00:00:00"/>
    <s v="Malt"/>
    <x v="1"/>
    <m/>
    <n v="63.63"/>
    <n v="12.726"/>
    <n v="76.35600000000001"/>
  </r>
  <r>
    <d v="2023-12-31T00:00:00"/>
    <s v="Malt"/>
    <x v="1"/>
    <m/>
    <n v="37.5"/>
    <n v="7.5"/>
    <n v="45"/>
  </r>
  <r>
    <d v="2023-12-31T00:00:00"/>
    <s v="Malt"/>
    <x v="1"/>
    <m/>
    <n v="1800"/>
    <n v="360"/>
    <n v="2160"/>
  </r>
  <r>
    <d v="2023-12-31T00:00:00"/>
    <s v="Malt"/>
    <x v="1"/>
    <m/>
    <n v="5400"/>
    <n v="1080"/>
    <n v="6480"/>
  </r>
  <r>
    <d v="2023-12-31T00:00:00"/>
    <s v="Malt"/>
    <x v="1"/>
    <m/>
    <n v="5625"/>
    <n v="1125"/>
    <n v="6750"/>
  </r>
  <r>
    <d v="2023-12-31T00:00:00"/>
    <s v="Malt"/>
    <x v="1"/>
    <m/>
    <n v="6750"/>
    <n v="1350"/>
    <n v="8100"/>
  </r>
  <r>
    <d v="2023-12-31T00:00:00"/>
    <s v="Malt"/>
    <x v="1"/>
    <m/>
    <n v="6975"/>
    <n v="1395"/>
    <n v="8370"/>
  </r>
  <r>
    <d v="2023-12-31T00:00:00"/>
    <s v="Malt"/>
    <x v="1"/>
    <m/>
    <n v="-6626.25"/>
    <n v="-1325.25"/>
    <n v="-7951.5"/>
  </r>
  <r>
    <d v="2023-12-31T00:00:00"/>
    <s v="Malt"/>
    <x v="1"/>
    <m/>
    <n v="-6412.5"/>
    <n v="-1282.5"/>
    <n v="-7695"/>
  </r>
  <r>
    <d v="2023-12-31T00:00:00"/>
    <s v="Malt"/>
    <x v="1"/>
    <m/>
    <n v="-550"/>
    <n v="-110"/>
    <n v="-660"/>
  </r>
  <r>
    <d v="2023-12-31T00:00:00"/>
    <s v="Malt"/>
    <x v="1"/>
    <m/>
    <n v="-5343.75"/>
    <n v="-1068.75"/>
    <n v="-6412.5"/>
  </r>
  <r>
    <d v="2023-12-31T00:00:00"/>
    <s v="Malt"/>
    <x v="1"/>
    <m/>
    <n v="-5130"/>
    <n v="-1026"/>
    <n v="-6156"/>
  </r>
  <r>
    <d v="2023-12-31T00:00:00"/>
    <s v="Malt"/>
    <x v="1"/>
    <m/>
    <n v="-1710"/>
    <n v="-342"/>
    <n v="-2052"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n v="792"/>
  </r>
  <r>
    <m/>
    <m/>
    <x v="3"/>
    <m/>
    <m/>
    <m/>
    <n v="1416"/>
  </r>
  <r>
    <m/>
    <m/>
    <x v="3"/>
    <m/>
    <m/>
    <m/>
    <n v="1116"/>
  </r>
  <r>
    <m/>
    <m/>
    <x v="3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32">
  <r>
    <x v="0"/>
    <s v="Simplon"/>
    <s v="Alison"/>
    <n v="202110005"/>
    <n v="60"/>
    <n v="0"/>
    <n v="60"/>
    <x v="0"/>
  </r>
  <r>
    <x v="0"/>
    <s v="Simplon"/>
    <s v="Alison"/>
    <n v="202110006"/>
    <n v="3600"/>
    <n v="0"/>
    <n v="3600"/>
    <x v="0"/>
  </r>
  <r>
    <x v="1"/>
    <s v="Digital Campus"/>
    <s v="Gaetan"/>
    <n v="202209002"/>
    <n v="1092"/>
    <n v="218.4"/>
    <n v="1310.4"/>
    <x v="0"/>
  </r>
  <r>
    <x v="2"/>
    <s v="OpenClassrooms"/>
    <s v="Alison"/>
    <n v="202210001"/>
    <n v="375"/>
    <n v="75"/>
    <n v="450"/>
    <x v="0"/>
  </r>
  <r>
    <x v="3"/>
    <s v="OpenClassrooms"/>
    <s v="Alison"/>
    <n v="202210002"/>
    <n v="200"/>
    <n v="40"/>
    <n v="240"/>
    <x v="0"/>
  </r>
  <r>
    <x v="4"/>
    <s v="Vicinity"/>
    <s v="Gaetan"/>
    <n v="202210003"/>
    <n v="7200"/>
    <n v="1440"/>
    <n v="8640"/>
    <x v="0"/>
  </r>
  <r>
    <x v="4"/>
    <s v="Digital Campus"/>
    <s v="Gaetan"/>
    <n v="202210004"/>
    <n v="336"/>
    <n v="67.2"/>
    <n v="403.2"/>
    <x v="0"/>
  </r>
  <r>
    <x v="5"/>
    <s v="Sparks"/>
    <s v="Alison"/>
    <n v="202211001"/>
    <n v="650"/>
    <n v="0"/>
    <n v="650"/>
    <x v="0"/>
  </r>
  <r>
    <x v="6"/>
    <s v="OpenClassrooms"/>
    <s v="Gaetan"/>
    <n v="202211002"/>
    <n v="640"/>
    <n v="128"/>
    <n v="768"/>
    <x v="0"/>
  </r>
  <r>
    <x v="6"/>
    <s v="OpenClassrooms"/>
    <s v="Alison"/>
    <n v="202211003"/>
    <n v="1295"/>
    <n v="259"/>
    <n v="1554"/>
    <x v="0"/>
  </r>
  <r>
    <x v="7"/>
    <s v="OpenClassrooms"/>
    <s v="Alison"/>
    <n v="202211004"/>
    <n v="375"/>
    <n v="75"/>
    <n v="450"/>
    <x v="0"/>
  </r>
  <r>
    <x v="8"/>
    <s v="OpenClassrooms"/>
    <s v="Alison"/>
    <s v="2022-11-28-000012"/>
    <n v="200"/>
    <n v="40"/>
    <n v="240"/>
    <x v="0"/>
  </r>
  <r>
    <x v="9"/>
    <s v="Vicinity"/>
    <s v="Gaetan"/>
    <s v="2022-11-30-000013"/>
    <n v="4050"/>
    <n v="810"/>
    <n v="4860"/>
    <x v="0"/>
  </r>
  <r>
    <x v="9"/>
    <s v="Digital Campus"/>
    <s v="Gaetan"/>
    <s v="2022-11-30-000014"/>
    <n v="1260"/>
    <n v="252"/>
    <n v="1512"/>
    <x v="0"/>
  </r>
  <r>
    <x v="10"/>
    <s v="OpenClassrooms"/>
    <s v="Alison"/>
    <s v="2022-11-30-000020"/>
    <n v="375"/>
    <n v="75"/>
    <n v="450"/>
    <x v="0"/>
  </r>
  <r>
    <x v="11"/>
    <s v="Simplon"/>
    <s v="Alison"/>
    <s v="2022-12-01-000015"/>
    <n v="4500"/>
    <n v="0"/>
    <n v="4500"/>
    <x v="0"/>
  </r>
  <r>
    <x v="12"/>
    <s v="Sparks"/>
    <s v="Alison"/>
    <s v="2022-12-04-000016"/>
    <n v="750"/>
    <n v="0"/>
    <n v="750"/>
    <x v="0"/>
  </r>
  <r>
    <x v="10"/>
    <s v="OpenClassrooms"/>
    <s v="Gaetan"/>
    <s v="2022-12-05-000017"/>
    <n v="560"/>
    <n v="112"/>
    <n v="672"/>
    <x v="0"/>
  </r>
  <r>
    <x v="10"/>
    <s v="OpenClassrooms"/>
    <s v="Alison"/>
    <s v="2022-12-05-000018"/>
    <n v="1115"/>
    <n v="223"/>
    <n v="1338"/>
    <x v="0"/>
  </r>
  <r>
    <x v="13"/>
    <s v="OpenClassrooms"/>
    <s v="Alison"/>
    <s v="2022-12-06-000019"/>
    <n v="15"/>
    <n v="3"/>
    <n v="18"/>
    <x v="0"/>
  </r>
  <r>
    <x v="14"/>
    <s v="PLB"/>
    <s v="Alison"/>
    <s v="2022-12-20-000021"/>
    <n v="250"/>
    <n v="50"/>
    <n v="300"/>
    <x v="0"/>
  </r>
  <r>
    <x v="14"/>
    <s v="Simplon"/>
    <s v="Alison"/>
    <s v="2022-12-20-000022"/>
    <n v="2700"/>
    <n v="0"/>
    <n v="2700"/>
    <x v="0"/>
  </r>
  <r>
    <x v="14"/>
    <s v="OpenClassrooms"/>
    <s v="Gaetan"/>
    <s v="2022-12-20-000025"/>
    <n v="560"/>
    <n v="112"/>
    <n v="672"/>
    <x v="0"/>
  </r>
  <r>
    <x v="15"/>
    <s v="Digital Campus"/>
    <s v="Gaetan"/>
    <s v="2022-12-22-000023"/>
    <n v="420"/>
    <n v="84"/>
    <n v="504"/>
    <x v="0"/>
  </r>
  <r>
    <x v="15"/>
    <s v="Vicinity"/>
    <s v="Gaetan"/>
    <s v="2022-12-22-000024"/>
    <n v="6300"/>
    <n v="1260"/>
    <n v="7560"/>
    <x v="0"/>
  </r>
  <r>
    <x v="16"/>
    <s v="OpenClassrooms"/>
    <s v="Alison"/>
    <s v="2022-12-24-000026"/>
    <n v="250"/>
    <n v="50"/>
    <n v="300"/>
    <x v="0"/>
  </r>
  <r>
    <x v="17"/>
    <s v="OpenClassrooms"/>
    <s v="Alison"/>
    <s v="2023-01-01-000027"/>
    <n v="375"/>
    <n v="75"/>
    <n v="450"/>
    <x v="0"/>
  </r>
  <r>
    <x v="18"/>
    <s v="OpenClassrooms"/>
    <s v="Alison"/>
    <s v="2023-01-01-000029"/>
    <n v="375"/>
    <n v="75"/>
    <n v="450"/>
    <x v="0"/>
  </r>
  <r>
    <x v="19"/>
    <s v="OpenClassrooms"/>
    <s v="Alison"/>
    <s v="2023-01-06-000028"/>
    <n v="605"/>
    <n v="121"/>
    <n v="726"/>
    <x v="0"/>
  </r>
  <r>
    <x v="20"/>
    <s v="Simplon"/>
    <s v="Gaetan"/>
    <s v="2023-01-20-000030"/>
    <n v="1350"/>
    <n v="0"/>
    <n v="1350"/>
    <x v="0"/>
  </r>
  <r>
    <x v="21"/>
    <s v="Digital Campus"/>
    <s v="Gaetan"/>
    <s v="2023-01-30-000031"/>
    <n v="1620"/>
    <n v="324"/>
    <n v="1944"/>
    <x v="0"/>
  </r>
  <r>
    <x v="21"/>
    <s v="Vicinity"/>
    <s v="Gaetan"/>
    <s v="2023-01-30-000032"/>
    <n v="5400"/>
    <n v="1080"/>
    <n v="6480"/>
    <x v="0"/>
  </r>
  <r>
    <x v="21"/>
    <s v="OpenClassrooms"/>
    <s v="Alison"/>
    <s v="2023-01-30-000033"/>
    <n v="750"/>
    <n v="150"/>
    <n v="900"/>
    <x v="0"/>
  </r>
  <r>
    <x v="22"/>
    <s v="Simplon"/>
    <s v="Alison"/>
    <s v="2023-01-31-000034"/>
    <n v="4050"/>
    <n v="0"/>
    <n v="4050"/>
    <x v="0"/>
  </r>
  <r>
    <x v="23"/>
    <s v="OpenClassrooms"/>
    <s v="Gaetan"/>
    <s v="2023-02-03-000035"/>
    <n v="700"/>
    <n v="140"/>
    <n v="840"/>
    <x v="0"/>
  </r>
  <r>
    <x v="24"/>
    <s v="OpenClassrooms"/>
    <s v="Alison"/>
    <s v="2023-02-03-000036"/>
    <n v="1390"/>
    <n v="278"/>
    <n v="1668"/>
    <x v="0"/>
  </r>
  <r>
    <x v="25"/>
    <s v="OpenClassrooms"/>
    <s v="Alison"/>
    <s v="2023-02-03-000037"/>
    <n v="390"/>
    <n v="78"/>
    <n v="468"/>
    <x v="0"/>
  </r>
  <r>
    <x v="25"/>
    <s v="Digital Campus"/>
    <s v="Gaetan"/>
    <s v="2023-02-23-000038"/>
    <n v="504"/>
    <n v="100.80000000000001"/>
    <n v="604.8"/>
    <x v="0"/>
  </r>
  <r>
    <x v="25"/>
    <s v="Vicinity"/>
    <s v="Gaetan"/>
    <s v="2023-02-23-000039"/>
    <n v="5850"/>
    <n v="1170"/>
    <n v="7020"/>
    <x v="0"/>
  </r>
  <r>
    <x v="26"/>
    <s v="OpenClassrooms"/>
    <s v="Alison"/>
    <s v="2023-02-27-000040"/>
    <n v="350"/>
    <n v="70"/>
    <n v="420"/>
    <x v="0"/>
  </r>
  <r>
    <x v="27"/>
    <s v="Simplon"/>
    <s v="Alison"/>
    <s v="2023-02-28-000041"/>
    <n v="2025"/>
    <n v="0"/>
    <n v="2025"/>
    <x v="0"/>
  </r>
  <r>
    <x v="28"/>
    <s v="OpenClassrooms"/>
    <s v="Alison"/>
    <s v="2023-03-02-000042"/>
    <n v="150"/>
    <n v="30"/>
    <n v="180"/>
    <x v="0"/>
  </r>
  <r>
    <x v="29"/>
    <s v="Vicinity"/>
    <s v="Gaetan"/>
    <s v="2023-03-05-000043"/>
    <n v="1350"/>
    <n v="270"/>
    <n v="1620"/>
    <x v="0"/>
  </r>
  <r>
    <x v="30"/>
    <s v="OpenClassrooms"/>
    <s v="Alison"/>
    <s v="2023-03-06-000044"/>
    <n v="1032.5"/>
    <n v="206.5"/>
    <n v="1239"/>
    <x v="0"/>
  </r>
  <r>
    <x v="30"/>
    <s v="OpenClassrooms"/>
    <s v="Gaetan"/>
    <s v="2023-03-06-000045"/>
    <n v="830"/>
    <n v="166"/>
    <n v="996"/>
    <x v="0"/>
  </r>
  <r>
    <x v="31"/>
    <s v="Sparks"/>
    <s v="Alison"/>
    <s v="2023-03-07-000046"/>
    <n v="750"/>
    <n v="0"/>
    <n v="750"/>
    <x v="0"/>
  </r>
  <r>
    <x v="31"/>
    <s v="OpenClassrooms"/>
    <s v="Alison"/>
    <s v="2023-03-07-000047"/>
    <n v="405"/>
    <n v="81"/>
    <n v="486"/>
    <x v="0"/>
  </r>
  <r>
    <x v="32"/>
    <s v="Digital Campus"/>
    <s v="Gaetan"/>
    <s v="2023-03-17-000048"/>
    <n v="756"/>
    <n v="151.20000000000002"/>
    <n v="907.2"/>
    <x v="0"/>
  </r>
  <r>
    <x v="33"/>
    <s v="Simplon"/>
    <s v="Alison"/>
    <s v="2023-03-22-000049"/>
    <n v="2200"/>
    <n v="0"/>
    <n v="2200"/>
    <x v="0"/>
  </r>
  <r>
    <x v="33"/>
    <s v="Simplon"/>
    <s v="Gaetan"/>
    <s v="2023-03-22-000050"/>
    <n v="450"/>
    <n v="0"/>
    <n v="450"/>
    <x v="0"/>
  </r>
  <r>
    <x v="34"/>
    <s v="OpenClassrooms"/>
    <s v="Alison"/>
    <s v="2023-03-27-000051"/>
    <n v="250"/>
    <n v="50"/>
    <n v="300"/>
    <x v="0"/>
  </r>
  <r>
    <x v="35"/>
    <s v="OpenClassrooms"/>
    <s v="Alison"/>
    <s v="2023-03-29-000052"/>
    <n v="300"/>
    <n v="60"/>
    <n v="360"/>
    <x v="0"/>
  </r>
  <r>
    <x v="35"/>
    <s v="OpenClassrooms"/>
    <s v="Alison"/>
    <s v="2023-03-29-000053"/>
    <n v="375"/>
    <n v="75"/>
    <n v="450"/>
    <x v="0"/>
  </r>
  <r>
    <x v="35"/>
    <s v="Simplon"/>
    <s v="Alison"/>
    <s v="2023-03-29-000054"/>
    <n v="2700"/>
    <n v="0"/>
    <n v="2700"/>
    <x v="0"/>
  </r>
  <r>
    <x v="36"/>
    <s v="Malt"/>
    <s v="Gaetan"/>
    <s v="2023-03-31-000055"/>
    <n v="6626.25"/>
    <n v="1325.25"/>
    <n v="7951.5"/>
    <x v="0"/>
  </r>
  <r>
    <x v="36"/>
    <s v="Sparks"/>
    <s v="Alison"/>
    <s v="2023-03-31-000056"/>
    <n v="1500"/>
    <n v="0"/>
    <n v="1500"/>
    <x v="0"/>
  </r>
  <r>
    <x v="37"/>
    <s v="OpenClassrooms"/>
    <s v="Gaetan"/>
    <s v="2023-04-05-000057"/>
    <n v="880"/>
    <n v="176"/>
    <n v="1056"/>
    <x v="0"/>
  </r>
  <r>
    <x v="37"/>
    <s v="OpenClassrooms"/>
    <s v="Alison"/>
    <s v="2023-04-06-000058"/>
    <n v="725"/>
    <n v="145"/>
    <n v="870"/>
    <x v="0"/>
  </r>
  <r>
    <x v="38"/>
    <s v="Simplon"/>
    <s v="Alison"/>
    <s v="2023-04-24-000059"/>
    <n v="5880"/>
    <n v="176"/>
    <n v="6056"/>
    <x v="0"/>
  </r>
  <r>
    <x v="39"/>
    <s v="OpenClassrooms"/>
    <s v="Alison"/>
    <s v="2023-04-25-000060"/>
    <n v="825"/>
    <n v="165"/>
    <n v="990"/>
    <x v="0"/>
  </r>
  <r>
    <x v="39"/>
    <s v="OpenClassrooms"/>
    <s v="Alison"/>
    <s v="2023-04-25-000061"/>
    <n v="180"/>
    <n v="36"/>
    <n v="216"/>
    <x v="0"/>
  </r>
  <r>
    <x v="40"/>
    <s v="Digital Campus"/>
    <s v="Gaetan"/>
    <s v="2023-04-26-000062"/>
    <n v="420"/>
    <n v="84"/>
    <n v="504"/>
    <x v="0"/>
  </r>
  <r>
    <x v="41"/>
    <s v="Malt"/>
    <s v="Gaetan"/>
    <s v="2023-04-26-000063"/>
    <n v="6412.5"/>
    <n v="1282.5"/>
    <n v="7695"/>
    <x v="0"/>
  </r>
  <r>
    <x v="41"/>
    <s v="Malt"/>
    <s v="Alison"/>
    <s v="2023-04-27-000064"/>
    <n v="495"/>
    <n v="99"/>
    <n v="594"/>
    <x v="0"/>
  </r>
  <r>
    <x v="42"/>
    <s v="Simplon"/>
    <s v="Alison"/>
    <s v="2023-04-28-000065"/>
    <n v="2475"/>
    <n v="0"/>
    <n v="2475"/>
    <x v="0"/>
  </r>
  <r>
    <x v="43"/>
    <s v="OpenClassrooms"/>
    <s v="Gaetan"/>
    <s v="2023-05-03-000066"/>
    <n v="600"/>
    <n v="120"/>
    <n v="720"/>
    <x v="0"/>
  </r>
  <r>
    <x v="44"/>
    <s v="OpenClassrooms"/>
    <s v="Gaetan"/>
    <s v="2023-05-03-000066"/>
    <n v="600"/>
    <n v="1068.75"/>
    <n v="6412.5"/>
    <x v="0"/>
  </r>
  <r>
    <x v="44"/>
    <s v="OpenClassrooms"/>
    <s v="Alison"/>
    <s v="2023-05-05-000067"/>
    <n v="560"/>
    <n v="112"/>
    <n v="672"/>
    <x v="0"/>
  </r>
  <r>
    <x v="45"/>
    <s v="Simplon"/>
    <s v="Alison"/>
    <s v="2023-05-11-000068"/>
    <n v="1000"/>
    <n v="0"/>
    <n v="1000"/>
    <x v="0"/>
  </r>
  <r>
    <x v="46"/>
    <s v="Simplon"/>
    <s v="Alison"/>
    <s v="2023-05-16-000069"/>
    <n v="111.47"/>
    <n v="0"/>
    <n v="111.47"/>
    <x v="0"/>
  </r>
  <r>
    <x v="47"/>
    <s v="Digital Campus"/>
    <s v="Gaetan"/>
    <s v="2023-05-22-000070"/>
    <n v="840"/>
    <n v="168"/>
    <n v="1008"/>
    <x v="0"/>
  </r>
  <r>
    <x v="47"/>
    <s v="OpenClassrooms"/>
    <s v="Alison"/>
    <s v="2023-05-22-000071"/>
    <n v="750"/>
    <n v="150"/>
    <n v="900"/>
    <x v="0"/>
  </r>
  <r>
    <x v="48"/>
    <s v="PLB"/>
    <s v="Alison"/>
    <s v="2023-05-26-000072"/>
    <n v="650"/>
    <n v="0"/>
    <n v="650"/>
    <x v="0"/>
  </r>
  <r>
    <x v="48"/>
    <s v="Simplon"/>
    <s v="Alison"/>
    <s v="2023-05-26-000073"/>
    <n v="550"/>
    <n v="0"/>
    <n v="550"/>
    <x v="0"/>
  </r>
  <r>
    <x v="49"/>
    <s v="OpenClassrooms"/>
    <s v="Alison"/>
    <s v="2023-05-30-000074"/>
    <n v="30"/>
    <n v="6"/>
    <n v="36"/>
    <x v="0"/>
  </r>
  <r>
    <x v="50"/>
    <s v="C-Libre"/>
    <s v="Alison"/>
    <s v="2023-05-31-000075"/>
    <n v="3850"/>
    <n v="770"/>
    <n v="4620"/>
    <x v="0"/>
  </r>
  <r>
    <x v="50"/>
    <s v="Simplon"/>
    <s v="Alison"/>
    <s v="2023-05-31-000076"/>
    <n v="2700"/>
    <n v="0"/>
    <n v="2700"/>
    <x v="0"/>
  </r>
  <r>
    <x v="50"/>
    <s v="Malt"/>
    <s v="Gaetan"/>
    <s v="2023-05-31-000077"/>
    <n v="5343.75"/>
    <n v="1068.75"/>
    <n v="6412.5"/>
    <x v="0"/>
  </r>
  <r>
    <x v="51"/>
    <s v="Simplon"/>
    <s v="Alison"/>
    <s v="2023-06-05-000078"/>
    <n v="550"/>
    <n v="0"/>
    <n v="550"/>
    <x v="0"/>
  </r>
  <r>
    <x v="51"/>
    <s v="OpenClassrooms"/>
    <s v="Gaetan"/>
    <s v="2023-06-05-000079"/>
    <n v="640"/>
    <n v="128"/>
    <n v="768"/>
    <x v="0"/>
  </r>
  <r>
    <x v="51"/>
    <s v="OpenClassrooms"/>
    <s v="Alison"/>
    <s v="2023-06-05-000080"/>
    <n v="800"/>
    <n v="160"/>
    <n v="960"/>
    <x v="0"/>
  </r>
  <r>
    <x v="52"/>
    <s v="OpenClassrooms"/>
    <s v="Alison"/>
    <s v="2023-06-05-000083"/>
    <n v="735"/>
    <n v="147"/>
    <n v="882"/>
    <x v="0"/>
  </r>
  <r>
    <x v="53"/>
    <s v="Simplon"/>
    <s v="Alison"/>
    <s v="2023-06-09-000081"/>
    <n v="1350"/>
    <n v="0"/>
    <n v="1350"/>
    <x v="0"/>
  </r>
  <r>
    <x v="54"/>
    <s v="Simplon"/>
    <s v="Alison"/>
    <s v="2023-06-16-000082"/>
    <n v="500"/>
    <n v="0"/>
    <n v="500"/>
    <x v="0"/>
  </r>
  <r>
    <x v="52"/>
    <s v="OpenClassrooms"/>
    <s v="Alison"/>
    <s v="2023-06-23-000084"/>
    <n v="60"/>
    <n v="12"/>
    <n v="72"/>
    <x v="0"/>
  </r>
  <r>
    <x v="55"/>
    <s v="OpenClassrooms"/>
    <s v="Alison"/>
    <s v="2023-06-26-000085"/>
    <n v="735"/>
    <n v="147"/>
    <n v="882"/>
    <x v="0"/>
  </r>
  <r>
    <x v="55"/>
    <s v="Simplon"/>
    <s v="Alison"/>
    <s v="2023-06-26-000086"/>
    <n v="250"/>
    <n v="0"/>
    <n v="250"/>
    <x v="0"/>
  </r>
  <r>
    <x v="55"/>
    <s v="Digital Campus"/>
    <s v="Alison"/>
    <s v="2023-06-26-000087"/>
    <n v="1008"/>
    <n v="201.60000000000002"/>
    <n v="1209.6"/>
    <x v="0"/>
  </r>
  <r>
    <x v="56"/>
    <s v="Digital Campus"/>
    <s v="Gaetan"/>
    <s v="2023-06-30-000088"/>
    <n v="1764"/>
    <n v="352.8"/>
    <n v="2116.8"/>
    <x v="0"/>
  </r>
  <r>
    <x v="56"/>
    <s v="Malt"/>
    <s v="Gaetan"/>
    <s v="2023-06-30-000089"/>
    <n v="5130"/>
    <n v="1026"/>
    <n v="6156"/>
    <x v="0"/>
  </r>
  <r>
    <x v="56"/>
    <s v="C-Libre"/>
    <s v="Alison"/>
    <s v="2023-06-30-000090"/>
    <n v="4400"/>
    <n v="880"/>
    <n v="5280"/>
    <x v="0"/>
  </r>
  <r>
    <x v="57"/>
    <s v="OpenClassrooms"/>
    <s v="Alison"/>
    <s v="2023-07-05-000091"/>
    <n v="1040"/>
    <n v="208"/>
    <n v="1248"/>
    <x v="0"/>
  </r>
  <r>
    <x v="57"/>
    <s v="Simplon"/>
    <s v="Alison"/>
    <s v="2023-07-05-000092"/>
    <n v="1600"/>
    <n v="0"/>
    <n v="1600"/>
    <x v="0"/>
  </r>
  <r>
    <x v="57"/>
    <s v="OpenClassrooms"/>
    <s v="Gaetan"/>
    <s v="2023-07-05-000093"/>
    <n v="910"/>
    <n v="182"/>
    <n v="1092"/>
    <x v="0"/>
  </r>
  <r>
    <x v="58"/>
    <s v="Malt"/>
    <s v="Gaetan"/>
    <s v="2023-07-07-000094"/>
    <n v="1710"/>
    <n v="342"/>
    <n v="2052"/>
    <x v="0"/>
  </r>
  <r>
    <x v="59"/>
    <s v="OpenClassrooms"/>
    <s v="Alison"/>
    <s v="2023-07-21-000095"/>
    <n v="765"/>
    <n v="153"/>
    <n v="918"/>
    <x v="0"/>
  </r>
  <r>
    <x v="59"/>
    <s v="OpenClassrooms"/>
    <s v="Alison"/>
    <s v="2023-07-21-000096"/>
    <n v="330"/>
    <n v="66"/>
    <n v="396"/>
    <x v="0"/>
  </r>
  <r>
    <x v="60"/>
    <s v="C-Libre"/>
    <s v="Alison"/>
    <s v="2023-07-31-000097"/>
    <n v="4400"/>
    <n v="880"/>
    <n v="5280"/>
    <x v="0"/>
  </r>
  <r>
    <x v="60"/>
    <s v="Widip"/>
    <s v="Alison"/>
    <s v="2023-07-31-000098"/>
    <n v="2800"/>
    <n v="560"/>
    <n v="3360"/>
    <x v="0"/>
  </r>
  <r>
    <x v="60"/>
    <s v="Widip"/>
    <s v="Eliana"/>
    <s v="2023-07-31-000098"/>
    <n v="4000"/>
    <n v="800"/>
    <n v="4800"/>
    <x v="0"/>
  </r>
  <r>
    <x v="61"/>
    <s v="OpenClassrooms"/>
    <s v="Alison"/>
    <s v="2023-08-05-000099"/>
    <n v="760"/>
    <n v="152"/>
    <n v="912"/>
    <x v="0"/>
  </r>
  <r>
    <x v="61"/>
    <s v="OpenClassrooms"/>
    <s v="Gaetan"/>
    <s v="2023-08-05-000100"/>
    <n v="910"/>
    <n v="182"/>
    <n v="1092"/>
    <x v="0"/>
  </r>
  <r>
    <x v="62"/>
    <s v="OpenClassrooms"/>
    <s v="Alison"/>
    <s v="2023-08-14-000101"/>
    <n v="40"/>
    <n v="8"/>
    <n v="48"/>
    <x v="0"/>
  </r>
  <r>
    <x v="63"/>
    <s v="OpenClassrooms"/>
    <s v="Alison"/>
    <s v="2023-08-30-000102"/>
    <n v="960"/>
    <n v="192"/>
    <n v="1152"/>
    <x v="0"/>
  </r>
  <r>
    <x v="63"/>
    <s v="OpenClassrooms"/>
    <s v="Alison"/>
    <s v="2023-08-30-000103"/>
    <n v="750"/>
    <n v="150"/>
    <n v="900"/>
    <x v="0"/>
  </r>
  <r>
    <x v="64"/>
    <s v="Aleysia"/>
    <s v="Gaetan"/>
    <s v="2023-08-31-000104"/>
    <n v="3500"/>
    <n v="700"/>
    <n v="4200"/>
    <x v="0"/>
  </r>
  <r>
    <x v="65"/>
    <s v="Digital Campus"/>
    <s v="Gaetan"/>
    <s v="2023-09-01-000105"/>
    <n v="250"/>
    <n v="50"/>
    <n v="300"/>
    <x v="0"/>
  </r>
  <r>
    <x v="66"/>
    <s v="OpenClassrooms"/>
    <s v="Alison"/>
    <s v="2023-09-05-000106"/>
    <n v="680"/>
    <n v="136"/>
    <n v="816"/>
    <x v="0"/>
  </r>
  <r>
    <x v="66"/>
    <s v="OpenClassrooms"/>
    <s v="Gaetan"/>
    <s v="2023-09-05-000107"/>
    <n v="815"/>
    <n v="163"/>
    <n v="978"/>
    <x v="0"/>
  </r>
  <r>
    <x v="67"/>
    <s v="OpenClassrooms"/>
    <s v="Alison"/>
    <s v="2023-09-26-000108"/>
    <n v="600"/>
    <n v="120"/>
    <n v="720"/>
    <x v="0"/>
  </r>
  <r>
    <x v="67"/>
    <s v="OpenClassrooms"/>
    <s v="Alison"/>
    <s v="2023-09-26-000109"/>
    <n v="825"/>
    <n v="165"/>
    <n v="990"/>
    <x v="0"/>
  </r>
  <r>
    <x v="68"/>
    <s v="Aleysia"/>
    <s v="Gaetan"/>
    <s v="2023-09-27-000110"/>
    <n v="6750"/>
    <n v="1350"/>
    <n v="8100"/>
    <x v="0"/>
  </r>
  <r>
    <x v="69"/>
    <s v="C-Libre"/>
    <s v="Alison"/>
    <s v="2023-09-30-000111"/>
    <n v="4950"/>
    <n v="990"/>
    <n v="5940"/>
    <x v="0"/>
  </r>
  <r>
    <x v="70"/>
    <s v="Sparks"/>
    <s v="Alison"/>
    <s v="2023-10-03-000112"/>
    <n v="750"/>
    <n v="0"/>
    <n v="750"/>
    <x v="0"/>
  </r>
  <r>
    <x v="71"/>
    <s v="OpenClassrooms"/>
    <s v="Alison"/>
    <s v="2023-10-05-000113"/>
    <n v="1145"/>
    <n v="229"/>
    <n v="1374"/>
    <x v="0"/>
  </r>
  <r>
    <x v="71"/>
    <s v="OpenClassrooms"/>
    <s v="Gaetan"/>
    <s v="2023-10-06-000114"/>
    <n v="620"/>
    <n v="124"/>
    <n v="744"/>
    <x v="0"/>
  </r>
  <r>
    <x v="72"/>
    <s v="GTech"/>
    <s v="Alison"/>
    <s v="2023-10-12-000115"/>
    <n v="200"/>
    <n v="40"/>
    <n v="240"/>
    <x v="0"/>
  </r>
  <r>
    <x v="73"/>
    <s v="Sparks"/>
    <s v="Alison"/>
    <s v="2023-10-15-000116"/>
    <n v="650"/>
    <n v="0"/>
    <n v="650"/>
    <x v="0"/>
  </r>
  <r>
    <x v="74"/>
    <s v="Aleysia"/>
    <s v="Gaetan"/>
    <s v="2023-10-25-000117"/>
    <n v="6500"/>
    <n v="1300"/>
    <n v="7800"/>
    <x v="0"/>
  </r>
  <r>
    <x v="75"/>
    <s v="TGV Lyria"/>
    <s v="Alison"/>
    <s v="2023-10-25-000118"/>
    <n v="1600"/>
    <n v="0"/>
    <n v="1600"/>
    <x v="0"/>
  </r>
  <r>
    <x v="76"/>
    <s v="C-Libre"/>
    <s v="Alison"/>
    <s v="2023-10-25-000119"/>
    <n v="2200"/>
    <n v="440"/>
    <n v="2640"/>
    <x v="0"/>
  </r>
  <r>
    <x v="77"/>
    <s v="OpenClassrooms"/>
    <s v="Alison"/>
    <s v="2023-10-27-000120"/>
    <n v="795"/>
    <n v="159"/>
    <n v="954"/>
    <x v="0"/>
  </r>
  <r>
    <x v="77"/>
    <s v="Simplon"/>
    <s v="Alison"/>
    <s v="2023-10-27-000121"/>
    <n v="2250"/>
    <n v="0"/>
    <n v="2250"/>
    <x v="0"/>
  </r>
  <r>
    <x v="78"/>
    <s v="OpenClassrooms"/>
    <s v="Gaetan"/>
    <s v="2023-11-07-000122"/>
    <n v="590"/>
    <n v="118"/>
    <n v="708"/>
    <x v="0"/>
  </r>
  <r>
    <x v="79"/>
    <s v="OpenClassrooms"/>
    <s v="Alison"/>
    <s v="2023-11-07-000123"/>
    <n v="1255"/>
    <n v="251"/>
    <n v="1506"/>
    <x v="0"/>
  </r>
  <r>
    <x v="80"/>
    <s v="Simplon"/>
    <s v="Alison"/>
    <s v="2023-11-23-000124"/>
    <n v="900"/>
    <n v="0"/>
    <n v="900"/>
    <x v="0"/>
  </r>
  <r>
    <x v="81"/>
    <s v="OpenClassrooms"/>
    <s v="Alison"/>
    <s v="2023-11-24-000125"/>
    <n v="690"/>
    <n v="138"/>
    <n v="828"/>
    <x v="0"/>
  </r>
  <r>
    <x v="82"/>
    <s v="TGV Lyria"/>
    <s v="Alison"/>
    <s v="2023-11-24-000126"/>
    <n v="800"/>
    <n v="0"/>
    <n v="800"/>
    <x v="0"/>
  </r>
  <r>
    <x v="83"/>
    <s v="GCD"/>
    <s v="Alison"/>
    <s v="2023-11-29-000127"/>
    <n v="1500"/>
    <n v="0"/>
    <n v="1500"/>
    <x v="0"/>
  </r>
  <r>
    <x v="84"/>
    <s v="Aleysia"/>
    <s v="Gaetan"/>
    <s v="2023-11-30-000128"/>
    <n v="7000"/>
    <n v="1400"/>
    <n v="8400"/>
    <x v="0"/>
  </r>
  <r>
    <x v="85"/>
    <s v="OpenClassrooms"/>
    <s v="Gaetan"/>
    <s v="2023-12-05-000129"/>
    <n v="420"/>
    <n v="84"/>
    <n v="504"/>
    <x v="0"/>
  </r>
  <r>
    <x v="85"/>
    <s v="OpenClassrooms"/>
    <s v="Alison"/>
    <s v="2023-12-05-000130"/>
    <n v="1270"/>
    <n v="254"/>
    <n v="1524"/>
    <x v="0"/>
  </r>
  <r>
    <x v="86"/>
    <s v="Simplon"/>
    <s v="Alison"/>
    <s v="2023-12-15-000131"/>
    <n v="2300"/>
    <n v="0"/>
    <n v="2300"/>
    <x v="0"/>
  </r>
  <r>
    <x v="86"/>
    <s v="Simplon"/>
    <s v="Alison"/>
    <s v="2023-12-15-000132"/>
    <n v="700"/>
    <m/>
    <n v="700"/>
    <x v="0"/>
  </r>
  <r>
    <x v="87"/>
    <s v="OpenClassrooms"/>
    <s v="Alison"/>
    <s v="2023-12-20-000133"/>
    <n v="525"/>
    <n v="105"/>
    <n v="630"/>
    <x v="0"/>
  </r>
  <r>
    <x v="88"/>
    <s v="Sparks"/>
    <s v="Alison"/>
    <s v="2023-12-20-000134"/>
    <n v="2250"/>
    <n v="0"/>
    <n v="2250"/>
    <x v="0"/>
  </r>
  <r>
    <x v="89"/>
    <s v="Aleysia"/>
    <s v="Gaetan"/>
    <s v="2023-12-20-000135"/>
    <n v="5500"/>
    <n v="1100"/>
    <n v="6600"/>
    <x v="0"/>
  </r>
  <r>
    <x v="88"/>
    <s v="Simplon"/>
    <s v="Gaetan"/>
    <s v="2023-12-22-000136"/>
    <n v="1350"/>
    <n v="0"/>
    <n v="1350"/>
    <x v="0"/>
  </r>
  <r>
    <x v="87"/>
    <s v="Vicinity"/>
    <s v="Alison"/>
    <s v="2023-12-22-000137"/>
    <n v="1200"/>
    <n v="240"/>
    <n v="1440"/>
    <x v="0"/>
  </r>
  <r>
    <x v="87"/>
    <s v="Vicinity"/>
    <s v="Alison"/>
    <s v="2023-12-22-000153"/>
    <n v="600"/>
    <n v="120"/>
    <n v="720"/>
    <x v="0"/>
  </r>
  <r>
    <x v="89"/>
    <s v="Malt"/>
    <s v="Gaetan"/>
    <m/>
    <n v="63.63"/>
    <n v="12.726"/>
    <n v="76.35600000000001"/>
    <x v="0"/>
  </r>
  <r>
    <x v="89"/>
    <s v="Malt"/>
    <s v="Gaetan"/>
    <m/>
    <n v="37.5"/>
    <n v="7.5"/>
    <n v="45"/>
    <x v="0"/>
  </r>
  <r>
    <x v="89"/>
    <s v="Malt"/>
    <s v="Gaetan"/>
    <m/>
    <n v="1800"/>
    <n v="360"/>
    <n v="2160"/>
    <x v="0"/>
  </r>
  <r>
    <x v="89"/>
    <s v="Malt"/>
    <s v="Gaetan"/>
    <m/>
    <n v="5400"/>
    <n v="1080"/>
    <n v="6480"/>
    <x v="0"/>
  </r>
  <r>
    <x v="89"/>
    <s v="Malt"/>
    <s v="Gaetan"/>
    <m/>
    <n v="5625"/>
    <n v="1125"/>
    <n v="6750"/>
    <x v="0"/>
  </r>
  <r>
    <x v="89"/>
    <s v="Malt"/>
    <s v="Gaetan"/>
    <m/>
    <n v="6750"/>
    <n v="1350"/>
    <n v="8100"/>
    <x v="0"/>
  </r>
  <r>
    <x v="89"/>
    <s v="Malt"/>
    <s v="Gaetan"/>
    <m/>
    <n v="6975"/>
    <n v="1395"/>
    <n v="8370"/>
    <x v="0"/>
  </r>
  <r>
    <x v="89"/>
    <s v="Malt"/>
    <s v="Gaetan"/>
    <m/>
    <n v="-6626.25"/>
    <n v="-1325.25"/>
    <n v="-7951.5"/>
    <x v="0"/>
  </r>
  <r>
    <x v="89"/>
    <s v="Malt"/>
    <s v="Gaetan"/>
    <m/>
    <n v="-6412.5"/>
    <n v="-1282.5"/>
    <n v="-7695"/>
    <x v="0"/>
  </r>
  <r>
    <x v="89"/>
    <s v="Malt"/>
    <s v="Gaetan"/>
    <m/>
    <n v="-550"/>
    <n v="-110"/>
    <n v="-660"/>
    <x v="0"/>
  </r>
  <r>
    <x v="89"/>
    <s v="Malt"/>
    <s v="Gaetan"/>
    <m/>
    <n v="-5343.75"/>
    <n v="-1068.75"/>
    <n v="-6412.5"/>
    <x v="0"/>
  </r>
  <r>
    <x v="89"/>
    <s v="Malt"/>
    <s v="Gaetan"/>
    <m/>
    <n v="-5130"/>
    <n v="-1026"/>
    <n v="-6156"/>
    <x v="0"/>
  </r>
  <r>
    <x v="89"/>
    <s v="Malt"/>
    <s v="Gaetan"/>
    <m/>
    <n v="-1710"/>
    <n v="-342"/>
    <n v="-2052"/>
    <x v="0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m/>
    <x v="1"/>
  </r>
  <r>
    <x v="90"/>
    <m/>
    <m/>
    <m/>
    <m/>
    <m/>
    <n v="792"/>
    <x v="1"/>
  </r>
  <r>
    <x v="90"/>
    <m/>
    <m/>
    <m/>
    <m/>
    <m/>
    <n v="1416"/>
    <x v="1"/>
  </r>
  <r>
    <x v="90"/>
    <m/>
    <m/>
    <m/>
    <m/>
    <m/>
    <n v="1116"/>
    <x v="1"/>
  </r>
  <r>
    <x v="90"/>
    <m/>
    <m/>
    <m/>
    <m/>
    <m/>
    <m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91">
  <r>
    <x v="0"/>
    <s v="OpenClassrooms"/>
    <s v="Gaetan"/>
    <s v="2024-01-05-000151"/>
    <n v="660"/>
    <n v="132"/>
    <n v="792"/>
    <x v="0"/>
  </r>
  <r>
    <x v="0"/>
    <s v="OpenClassrooms"/>
    <s v="Alison"/>
    <s v="2024-01-06-000152"/>
    <n v="1180"/>
    <n v="236"/>
    <n v="1416"/>
    <x v="0"/>
  </r>
  <r>
    <x v="1"/>
    <s v="EPSI"/>
    <s v="Gaetan"/>
    <s v="2024-01-23-000157"/>
    <n v="2296"/>
    <n v="0"/>
    <n v="2296"/>
    <x v="0"/>
  </r>
  <r>
    <x v="1"/>
    <s v="OpenClassrooms"/>
    <s v="Alison"/>
    <s v="2024-01-23-000158"/>
    <n v="930"/>
    <n v="186"/>
    <n v="1116"/>
    <x v="0"/>
  </r>
  <r>
    <x v="2"/>
    <s v="Simplon"/>
    <s v="Alison"/>
    <s v="2024-01-25-000159"/>
    <n v="3380"/>
    <n v="0"/>
    <n v="3380"/>
    <x v="0"/>
  </r>
  <r>
    <x v="2"/>
    <s v="GCD"/>
    <s v="Alison"/>
    <s v="2024-01-26-000160"/>
    <n v="9750"/>
    <n v="0"/>
    <n v="9750"/>
    <x v="0"/>
  </r>
  <r>
    <x v="2"/>
    <s v="Vicinity"/>
    <s v="Alison"/>
    <s v="2024-01-30-000161"/>
    <n v="900"/>
    <n v="180"/>
    <n v="1080"/>
    <x v="0"/>
  </r>
  <r>
    <x v="3"/>
    <s v="Aleysia"/>
    <s v="Gaetan"/>
    <s v="2024-01-31-000162"/>
    <n v="7500"/>
    <n v="1500"/>
    <n v="9000"/>
    <x v="0"/>
  </r>
  <r>
    <x v="4"/>
    <s v="OpenClassrooms"/>
    <s v="Alison"/>
    <s v="2024-02-05-000163"/>
    <n v="840"/>
    <n v="168"/>
    <n v="1008"/>
    <x v="0"/>
  </r>
  <r>
    <x v="4"/>
    <s v="OpenClassrooms"/>
    <s v="Gaetan"/>
    <s v="2024-02-05-000164"/>
    <n v="790"/>
    <n v="158"/>
    <n v="948"/>
    <x v="0"/>
  </r>
  <r>
    <x v="5"/>
    <s v="EPSI"/>
    <s v="Gaetan"/>
    <s v="2024-02-23-000165"/>
    <n v="1148"/>
    <n v="0"/>
    <n v="1148"/>
    <x v="0"/>
  </r>
  <r>
    <x v="6"/>
    <s v="Simplon"/>
    <s v="Alison"/>
    <s v="2024-02-26-000166"/>
    <n v="2000"/>
    <n v="0"/>
    <n v="2000"/>
    <x v="0"/>
  </r>
  <r>
    <x v="6"/>
    <s v="GCD"/>
    <s v="Alison"/>
    <s v="2024-02-26-000167"/>
    <n v="3900"/>
    <n v="0"/>
    <n v="3900"/>
    <x v="0"/>
  </r>
  <r>
    <x v="6"/>
    <s v="OpenClassrooms"/>
    <s v="Alison"/>
    <s v="2024-02-26-000168"/>
    <n v="855"/>
    <n v="171"/>
    <n v="1026"/>
    <x v="0"/>
  </r>
  <r>
    <x v="7"/>
    <s v="Vicinity"/>
    <s v="Alison"/>
    <s v="2024-02-27-000169"/>
    <n v="600"/>
    <n v="120"/>
    <n v="720"/>
    <x v="0"/>
  </r>
  <r>
    <x v="7"/>
    <s v="Simplon"/>
    <s v="Alison"/>
    <s v="2024-02-28-000170"/>
    <n v="3650"/>
    <n v="0"/>
    <n v="3650"/>
    <x v="0"/>
  </r>
  <r>
    <x v="8"/>
    <s v="Aleysia"/>
    <s v="Gaetan"/>
    <s v="2024-02-29-000171"/>
    <n v="7500"/>
    <n v="1500"/>
    <n v="9000"/>
    <x v="0"/>
  </r>
  <r>
    <x v="9"/>
    <s v="OpenClassrooms"/>
    <s v="Alison"/>
    <s v="2024-03-05-000172"/>
    <n v="880"/>
    <n v="176"/>
    <n v="1056"/>
    <x v="0"/>
  </r>
  <r>
    <x v="9"/>
    <s v="OpenClassrooms"/>
    <s v="Gaetan"/>
    <s v="2024-03-05-000173"/>
    <n v="880"/>
    <n v="176"/>
    <n v="1056"/>
    <x v="0"/>
  </r>
  <r>
    <x v="10"/>
    <s v="OpenClassrooms"/>
    <s v="Alison"/>
    <s v="2024-03-08-000174"/>
    <n v="1000"/>
    <n v="200"/>
    <n v="1200"/>
    <x v="0"/>
  </r>
  <r>
    <x v="10"/>
    <s v="Simplon"/>
    <s v="Gaetan"/>
    <s v="2024-03-08-000175"/>
    <n v="475"/>
    <n v="0"/>
    <n v="475"/>
    <x v="0"/>
  </r>
  <r>
    <x v="11"/>
    <s v="Sparks"/>
    <s v="Alison"/>
    <s v="2024-03-13-000176"/>
    <n v="750"/>
    <n v="0"/>
    <n v="750"/>
    <x v="0"/>
  </r>
  <r>
    <x v="11"/>
    <s v="Vicinity"/>
    <s v="Alison"/>
    <s v="2024-03-13-000177"/>
    <n v="300"/>
    <n v="60"/>
    <n v="360"/>
    <x v="0"/>
  </r>
  <r>
    <x v="12"/>
    <s v="OpenClassrooms"/>
    <s v="Alison"/>
    <s v="2024-03-22-000178"/>
    <n v="1065"/>
    <n v="213"/>
    <n v="1278"/>
    <x v="0"/>
  </r>
  <r>
    <x v="13"/>
    <s v="GCD"/>
    <s v="Alison"/>
    <s v="2024-03-29-000179"/>
    <n v="650"/>
    <n v="0"/>
    <n v="650"/>
    <x v="0"/>
  </r>
  <r>
    <x v="13"/>
    <s v="Aleysia"/>
    <s v="Gaetan"/>
    <s v="2024-03-29-000180"/>
    <n v="7000"/>
    <n v="1400"/>
    <n v="8400"/>
    <x v="0"/>
  </r>
  <r>
    <x v="14"/>
    <s v="Simplon"/>
    <s v="Alison"/>
    <s v="2024-03-29-000181"/>
    <n v="5542.5"/>
    <n v="0"/>
    <n v="5542.5"/>
    <x v="0"/>
  </r>
  <r>
    <x v="15"/>
    <s v="OpenClassrooms"/>
    <s v="Alison"/>
    <s v="2024-04-06-000190"/>
    <n v="598.4"/>
    <n v="119.68"/>
    <n v="718.0799999999999"/>
    <x v="0"/>
  </r>
  <r>
    <x v="16"/>
    <s v="OpenClassrooms"/>
    <s v="Gaetan"/>
    <s v="2024-04-08-000191"/>
    <n v="596"/>
    <n v="119.2"/>
    <n v="715.2"/>
    <x v="0"/>
  </r>
  <r>
    <x v="17"/>
    <s v="Simplon"/>
    <s v="Gaetan"/>
    <s v="2024-04-19-000192"/>
    <n v="950"/>
    <n v="0"/>
    <n v="950"/>
    <x v="0"/>
  </r>
  <r>
    <x v="18"/>
    <s v="Simplon"/>
    <s v="Alison"/>
    <s v="2024-04-28-000193"/>
    <n v="3487.5"/>
    <n v="0"/>
    <n v="3487.5"/>
    <x v="0"/>
  </r>
  <r>
    <x v="18"/>
    <s v="OpenClassrooms"/>
    <s v="Alison"/>
    <s v="2024-04-28-000194"/>
    <n v="825"/>
    <n v="165"/>
    <n v="990"/>
    <x v="0"/>
  </r>
  <r>
    <x v="19"/>
    <s v="Aleysia"/>
    <s v="Gaetan"/>
    <s v="2024-04-30-000195"/>
    <n v="6500"/>
    <n v="1300"/>
    <n v="7800"/>
    <x v="0"/>
  </r>
  <r>
    <x v="20"/>
    <s v="OpenClassrooms"/>
    <s v="Gaetan"/>
    <s v="2024-05-06-000196"/>
    <n v="410.6"/>
    <n v="82.12"/>
    <n v="492.72"/>
    <x v="0"/>
  </r>
  <r>
    <x v="20"/>
    <s v="OpenClassrooms"/>
    <s v="Alison"/>
    <s v="2024-05-06-000197"/>
    <n v="200"/>
    <n v="40"/>
    <n v="240"/>
    <x v="0"/>
  </r>
  <r>
    <x v="21"/>
    <s v="OpenClassrooms"/>
    <s v="Alison"/>
    <s v="2024-05-26-000198"/>
    <n v="1080"/>
    <n v="216"/>
    <n v="1296"/>
    <x v="0"/>
  </r>
  <r>
    <x v="22"/>
    <s v="Sparks"/>
    <s v="Alison"/>
    <s v="2024-05-29-000199"/>
    <n v="1500"/>
    <n v="0"/>
    <n v="1500"/>
    <x v="0"/>
  </r>
  <r>
    <x v="23"/>
    <s v="Aleysia"/>
    <s v="Gaetan"/>
    <s v="2024-05-31-000200"/>
    <n v="7500"/>
    <n v="1500"/>
    <n v="9000"/>
    <x v="0"/>
  </r>
  <r>
    <x v="23"/>
    <s v="Simplon"/>
    <s v="Alison"/>
    <s v="2024-05-31-000201"/>
    <n v="4612.5"/>
    <n v="0"/>
    <n v="4612.5"/>
    <x v="0"/>
  </r>
  <r>
    <x v="24"/>
    <s v="Simplon"/>
    <s v="Gaetan"/>
    <s v="2024-06-04-000202"/>
    <n v="950"/>
    <n v="0"/>
    <n v="950"/>
    <x v="0"/>
  </r>
  <r>
    <x v="25"/>
    <s v="OpenClassrooms"/>
    <s v="Alison"/>
    <s v="2024-06-05-000203"/>
    <n v="355"/>
    <n v="71"/>
    <n v="426"/>
    <x v="0"/>
  </r>
  <r>
    <x v="25"/>
    <s v="OpenClassrooms"/>
    <s v="Gaetan"/>
    <s v="2024-06-05-000204"/>
    <n v="650.2"/>
    <n v="130.04000000000002"/>
    <n v="780.24"/>
    <x v="0"/>
  </r>
  <r>
    <x v="26"/>
    <s v="Sparks"/>
    <s v="Alison"/>
    <s v="2024-06-25-000207"/>
    <n v="1600"/>
    <n v="0"/>
    <n v="1600"/>
    <x v="0"/>
  </r>
  <r>
    <x v="26"/>
    <s v="Vicinity"/>
    <s v="Alison"/>
    <s v="2024-06-25-000208"/>
    <n v="300"/>
    <n v="60"/>
    <n v="360"/>
    <x v="0"/>
  </r>
  <r>
    <x v="27"/>
    <s v="Aleysia"/>
    <s v="Gaetan"/>
    <s v="2024-06-27-000209"/>
    <n v="7500"/>
    <n v="1500"/>
    <n v="9000"/>
    <x v="0"/>
  </r>
  <r>
    <x v="28"/>
    <s v="Simplon"/>
    <s v="Alison"/>
    <s v="2024-06-28-000210"/>
    <n v="6550"/>
    <n v="0"/>
    <n v="6550"/>
    <x v="0"/>
  </r>
  <r>
    <x v="29"/>
    <s v="Elli Up"/>
    <s v="Alison"/>
    <s v="2024-07-04-000211"/>
    <n v="2400"/>
    <n v="0"/>
    <n v="2400"/>
    <x v="0"/>
  </r>
  <r>
    <x v="30"/>
    <s v="OpenClassrooms"/>
    <s v="Alison"/>
    <s v="2024-07-05-000212"/>
    <n v="287.5"/>
    <n v="57.5"/>
    <n v="345"/>
    <x v="0"/>
  </r>
  <r>
    <x v="30"/>
    <s v="OpenClassrooms"/>
    <s v="Gaetan"/>
    <s v="2024-07-05-000213"/>
    <n v="584.8"/>
    <n v="116.96"/>
    <n v="701.76"/>
    <x v="0"/>
  </r>
  <r>
    <x v="31"/>
    <s v="Malt"/>
    <s v="Gaetan"/>
    <s v="2024-07-06-000214"/>
    <n v="500"/>
    <n v="100"/>
    <n v="600"/>
    <x v="0"/>
  </r>
  <r>
    <x v="32"/>
    <s v="Malt"/>
    <s v="Gaetan"/>
    <s v="2024-07-12-000215"/>
    <n v="250"/>
    <n v="50"/>
    <n v="300"/>
    <x v="0"/>
  </r>
  <r>
    <x v="33"/>
    <s v="Sparks"/>
    <s v="Alison"/>
    <s v="2024-07-22-000216"/>
    <n v="1600"/>
    <n v="0"/>
    <n v="1600"/>
    <x v="0"/>
  </r>
  <r>
    <x v="34"/>
    <s v="Elli Up"/>
    <s v="Alison"/>
    <s v="2024-07-24-000217"/>
    <n v="1250"/>
    <n v="0"/>
    <n v="1250"/>
    <x v="0"/>
  </r>
  <r>
    <x v="34"/>
    <s v="Vicinity"/>
    <s v="Alison"/>
    <s v="2024-07-24-000218"/>
    <n v="300"/>
    <n v="60"/>
    <n v="360"/>
    <x v="0"/>
  </r>
  <r>
    <x v="34"/>
    <s v="Simplon"/>
    <s v="Alison"/>
    <s v="2024-07-24-000219"/>
    <n v="6550"/>
    <n v="0"/>
    <n v="6550"/>
    <x v="0"/>
  </r>
  <r>
    <x v="35"/>
    <s v="Aleysia"/>
    <s v="Gaetan"/>
    <s v="2024-07-31-000220"/>
    <n v="9000"/>
    <n v="1800"/>
    <n v="10800"/>
    <x v="0"/>
  </r>
  <r>
    <x v="36"/>
    <s v="OpenClassrooms"/>
    <s v="Alison"/>
    <s v="2024-08-20-000221"/>
    <n v="230"/>
    <n v="46"/>
    <n v="276"/>
    <x v="0"/>
  </r>
  <r>
    <x v="37"/>
    <s v="OpenClassrooms"/>
    <s v="Gaetan"/>
    <s v="2024-08-26-000222"/>
    <n v="307.6"/>
    <n v="61.52000000000001"/>
    <n v="369.12"/>
    <x v="0"/>
  </r>
  <r>
    <x v="38"/>
    <s v="Simplon"/>
    <s v="Alison"/>
    <s v="2024-08-27-000223"/>
    <n v="950"/>
    <n v="0"/>
    <n v="950"/>
    <x v="0"/>
  </r>
  <r>
    <x v="39"/>
    <s v="Elli Up"/>
    <s v="Alison"/>
    <s v="2024-08-28-000224"/>
    <n v="400"/>
    <n v="0"/>
    <n v="400"/>
    <x v="0"/>
  </r>
  <r>
    <x v="39"/>
    <s v="Vicinity"/>
    <s v="Alison"/>
    <s v="2024-08-28-000225"/>
    <n v="300"/>
    <n v="60"/>
    <n v="360"/>
    <x v="0"/>
  </r>
  <r>
    <x v="40"/>
    <s v="Aleysia"/>
    <s v="Gaetan"/>
    <s v="2024-08-30-000226"/>
    <n v="3000"/>
    <n v="600"/>
    <n v="3600"/>
    <x v="0"/>
  </r>
  <r>
    <x v="41"/>
    <s v="OpenClassrooms"/>
    <s v="Gaetan"/>
    <s v="2024-09-05-000227"/>
    <n v="213.6"/>
    <n v="42.72"/>
    <n v="256.32"/>
    <x v="0"/>
  </r>
  <r>
    <x v="42"/>
    <s v="Univ Paris 1"/>
    <s v="Gaetan"/>
    <s v="2024-09-10-000228"/>
    <n v="13283.64"/>
    <n v="2608.36"/>
    <n v="15892"/>
    <x v="0"/>
  </r>
  <r>
    <x v="43"/>
    <s v="Simplon"/>
    <s v="Alison"/>
    <s v="2024-09-13-000229"/>
    <n v="1400"/>
    <n v="0"/>
    <n v="1400"/>
    <x v="0"/>
  </r>
  <r>
    <x v="44"/>
    <s v="Sparks"/>
    <s v="Alison"/>
    <s v="2024-09-18-000230"/>
    <n v="1300"/>
    <n v="0"/>
    <n v="1300"/>
    <x v="0"/>
  </r>
  <r>
    <x v="45"/>
    <s v="Simplon"/>
    <s v="Alison"/>
    <s v="2024-09-19-000231"/>
    <n v="2375"/>
    <n v="0"/>
    <n v="2375"/>
    <x v="0"/>
  </r>
  <r>
    <x v="46"/>
    <s v="Aleysia"/>
    <s v="Gaetan"/>
    <s v="2024-09-30-000232"/>
    <n v="7250"/>
    <n v="1450"/>
    <n v="8700"/>
    <x v="0"/>
  </r>
  <r>
    <x v="47"/>
    <s v="OnlyLyon"/>
    <s v="Alison"/>
    <s v="2024-10-01-000233"/>
    <n v="2850"/>
    <n v="0"/>
    <n v="2850"/>
    <x v="0"/>
  </r>
  <r>
    <x v="47"/>
    <s v="Lyria"/>
    <s v="Alison"/>
    <s v="2024-10-01-000234"/>
    <n v="1900"/>
    <n v="0"/>
    <n v="1900"/>
    <x v="1"/>
  </r>
  <r>
    <x v="48"/>
    <s v="OpenClassrooms"/>
    <s v="Gaetan"/>
    <s v="2024-10-07-000235"/>
    <n v="193.4"/>
    <n v="38.68000000000001"/>
    <n v="232.08"/>
    <x v="0"/>
  </r>
  <r>
    <x v="49"/>
    <s v="Simplon"/>
    <s v="Alison"/>
    <s v="2024-10-10-000238"/>
    <n v="1425"/>
    <n v="0"/>
    <n v="1425"/>
    <x v="0"/>
  </r>
  <r>
    <x v="49"/>
    <s v="Univ Paris 1"/>
    <s v="Gaetan"/>
    <s v="RECTIF AVOIR"/>
    <n v="-40.31"/>
    <n v="0"/>
    <n v="0"/>
    <x v="0"/>
  </r>
  <r>
    <x v="50"/>
    <s v="Elli Up"/>
    <s v="Alison"/>
    <s v="2024-10-21-000239"/>
    <n v="800"/>
    <n v="0"/>
    <n v="800"/>
    <x v="0"/>
  </r>
  <r>
    <x v="51"/>
    <s v="Aleysia"/>
    <s v="Gaetan"/>
    <s v="2024-10-24-000240"/>
    <n v="7000"/>
    <n v="1400"/>
    <n v="8400"/>
    <x v="0"/>
  </r>
  <r>
    <x v="51"/>
    <s v="Simplon"/>
    <s v="Gaetan"/>
    <s v="2024-10-24-000241"/>
    <n v="1425"/>
    <n v="0"/>
    <n v="1425"/>
    <x v="0"/>
  </r>
  <r>
    <x v="52"/>
    <s v="GEMA"/>
    <s v="Alison"/>
    <s v="2024-10-30-000242"/>
    <n v="2520"/>
    <n v="0"/>
    <n v="2520"/>
    <x v="0"/>
  </r>
  <r>
    <x v="53"/>
    <s v="OpenClassrooms"/>
    <s v="Gaetan"/>
    <s v="2024-11-05-000243"/>
    <n v="294.7"/>
    <n v="58.94"/>
    <n v="353.64"/>
    <x v="0"/>
  </r>
  <r>
    <x v="54"/>
    <s v="Sparks"/>
    <s v="Alison"/>
    <s v="2024-11-07-000244"/>
    <n v="2250"/>
    <n v="0"/>
    <n v="2250"/>
    <x v="0"/>
  </r>
  <r>
    <x v="55"/>
    <s v="Oreegami"/>
    <s v="Alison"/>
    <s v="2024-11-18-000245"/>
    <n v="1960"/>
    <n v="392"/>
    <n v="2352"/>
    <x v="1"/>
  </r>
  <r>
    <x v="56"/>
    <s v="Sparks"/>
    <s v="Alison"/>
    <s v="2024-11-20-000246"/>
    <n v="1300"/>
    <n v="0"/>
    <n v="1300"/>
    <x v="1"/>
  </r>
  <r>
    <x v="56"/>
    <s v="Simplon"/>
    <s v="Gaetan"/>
    <s v="2024-11-20-000247"/>
    <n v="2375"/>
    <n v="0"/>
    <n v="2375"/>
    <x v="1"/>
  </r>
  <r>
    <x v="57"/>
    <s v="Simplon"/>
    <s v="Alison"/>
    <s v="2024-11-28-000248"/>
    <n v="975"/>
    <n v="0"/>
    <n v="975"/>
    <x v="1"/>
  </r>
  <r>
    <x v="57"/>
    <s v="SEB"/>
    <s v="Alison"/>
    <s v="2024-11-28-000249"/>
    <n v="8000"/>
    <n v="1600"/>
    <n v="9600"/>
    <x v="1"/>
  </r>
  <r>
    <x v="57"/>
    <s v="Albert School"/>
    <s v="Alison"/>
    <s v="2024-11-28-000250"/>
    <n v="600"/>
    <n v="0"/>
    <n v="600"/>
    <x v="0"/>
  </r>
  <r>
    <x v="58"/>
    <s v="Aleysia"/>
    <s v="Gaetan"/>
    <s v="2024-11-29-000251"/>
    <n v="7500"/>
    <n v="1500"/>
    <n v="9000"/>
    <x v="0"/>
  </r>
  <r>
    <x v="59"/>
    <s v="GL events"/>
    <s v="Gaetan"/>
    <s v="2024-12-02-000252"/>
    <n v="5300"/>
    <n v="1060"/>
    <n v="6360"/>
    <x v="1"/>
  </r>
  <r>
    <x v="59"/>
    <s v="Elli Up"/>
    <s v="Alison"/>
    <s v="2024-12-02-000253"/>
    <n v="650"/>
    <n v="0"/>
    <n v="650"/>
    <x v="0"/>
  </r>
  <r>
    <x v="60"/>
    <s v="OpenClassrooms"/>
    <s v="Gaetan"/>
    <s v="2024-12-05-000254"/>
    <n v="227.4"/>
    <n v="45.480000000000004"/>
    <n v="272.88"/>
    <x v="0"/>
  </r>
  <r>
    <x v="61"/>
    <s v="Elli Up"/>
    <s v="Alison"/>
    <s v=" 2024-12-09-000257"/>
    <n v="800"/>
    <n v="0"/>
    <n v="800"/>
    <x v="0"/>
  </r>
  <r>
    <x v="61"/>
    <s v="Elli Up"/>
    <s v="Alison"/>
    <s v="2024-12-09-000255"/>
    <n v="230"/>
    <n v="0"/>
    <n v="230"/>
    <x v="1"/>
  </r>
  <r>
    <x v="61"/>
    <s v="Elli Up"/>
    <s v="Alison"/>
    <s v="2024-12-09-000256"/>
    <n v="420"/>
    <n v="0"/>
    <n v="420"/>
    <x v="0"/>
  </r>
  <r>
    <x v="62"/>
    <s v="Elli Up"/>
    <s v="Alison"/>
    <s v=" 2024-12-11-000258"/>
    <n v="1045"/>
    <n v="0"/>
    <n v="1045"/>
    <x v="0"/>
  </r>
  <r>
    <x v="62"/>
    <s v="Albert School"/>
    <s v="Alison"/>
    <s v="2024-12-11-000259"/>
    <n v="1200"/>
    <n v="0"/>
    <n v="1200"/>
    <x v="1"/>
  </r>
  <r>
    <x v="63"/>
    <s v="Sparks"/>
    <s v="Alison"/>
    <s v="2024-12-13-000260"/>
    <n v="1300"/>
    <n v="0"/>
    <n v="1300"/>
    <x v="1"/>
  </r>
  <r>
    <x v="64"/>
    <s v="GL events"/>
    <s v="Gaetan"/>
    <s v="2024-12-16-000261"/>
    <n v="5300"/>
    <n v="1060"/>
    <n v="6360"/>
    <x v="1"/>
  </r>
  <r>
    <x v="65"/>
    <s v="GEMA"/>
    <s v="Alison"/>
    <s v="2024-12-18-000262"/>
    <n v="1260"/>
    <n v="0"/>
    <n v="1260"/>
    <x v="1"/>
  </r>
  <r>
    <x v="65"/>
    <s v="GL events"/>
    <s v="Gaetan"/>
    <s v="2024-12-18-000263"/>
    <n v="1575"/>
    <n v="315"/>
    <n v="1890"/>
    <x v="1"/>
  </r>
  <r>
    <x v="66"/>
    <s v="Sparks"/>
    <s v="Alison"/>
    <s v="2024-12-19-000264"/>
    <n v="800"/>
    <n v="0"/>
    <n v="800"/>
    <x v="1"/>
  </r>
  <r>
    <x v="67"/>
    <s v="Simplon"/>
    <s v="Gaetan"/>
    <s v="2024-12-20-000266"/>
    <n v="950"/>
    <n v="0"/>
    <n v="950"/>
    <x v="1"/>
  </r>
  <r>
    <x v="67"/>
    <s v="Simplon"/>
    <s v="Alison"/>
    <s v="2024-12-20-000265"/>
    <n v="1900"/>
    <n v="0"/>
    <n v="1900"/>
    <x v="1"/>
  </r>
  <r>
    <x v="68"/>
    <s v="Aleysia"/>
    <s v="Gaetan"/>
    <m/>
    <n v="6000"/>
    <n v="1200"/>
    <n v="7200"/>
    <x v="2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  <r>
    <x v="69"/>
    <m/>
    <m/>
    <m/>
    <m/>
    <m/>
    <m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91">
  <r>
    <d v="2024-01-05T00:00:00"/>
    <s v="OpenClassrooms"/>
    <x v="0"/>
    <s v="2024-01-05-000151"/>
    <n v="660"/>
    <n v="132"/>
    <n v="792"/>
    <x v="0"/>
    <n v="1"/>
    <n v="660"/>
  </r>
  <r>
    <d v="2024-01-05T00:00:00"/>
    <s v="OpenClassrooms"/>
    <x v="1"/>
    <s v="2024-01-06-000152"/>
    <n v="1180"/>
    <n v="236"/>
    <n v="1416"/>
    <x v="0"/>
    <n v="2"/>
    <n v="590"/>
  </r>
  <r>
    <d v="2024-01-23T00:00:00"/>
    <s v="EPSI"/>
    <x v="0"/>
    <s v="2024-01-23-000157"/>
    <n v="2296"/>
    <n v="0"/>
    <n v="2296"/>
    <x v="0"/>
    <n v="4"/>
    <n v="574"/>
  </r>
  <r>
    <d v="2024-01-23T00:00:00"/>
    <s v="OpenClassrooms"/>
    <x v="1"/>
    <s v="2024-01-23-000158"/>
    <n v="930"/>
    <n v="186"/>
    <n v="1116"/>
    <x v="0"/>
    <n v="1"/>
    <n v="930"/>
  </r>
  <r>
    <d v="2024-01-30T00:00:00"/>
    <s v="Simplon"/>
    <x v="1"/>
    <s v="2024-01-25-000159"/>
    <n v="3380"/>
    <n v="0"/>
    <n v="3380"/>
    <x v="0"/>
    <n v="7"/>
    <n v="450"/>
  </r>
  <r>
    <d v="2024-01-30T00:00:00"/>
    <s v="GCD"/>
    <x v="1"/>
    <s v="2024-01-26-000160"/>
    <n v="9750"/>
    <n v="0"/>
    <n v="9750"/>
    <x v="0"/>
    <n v="15"/>
    <n v="650"/>
  </r>
  <r>
    <d v="2024-01-30T00:00:00"/>
    <s v="Vicinity"/>
    <x v="1"/>
    <s v="2024-01-30-000161"/>
    <n v="900"/>
    <n v="180"/>
    <n v="1080"/>
    <x v="0"/>
    <n v="1.5"/>
    <n v="600"/>
  </r>
  <r>
    <d v="2024-01-31T00:00:00"/>
    <s v="Aleysia"/>
    <x v="0"/>
    <s v="2024-01-31-000162"/>
    <n v="7500"/>
    <n v="1500"/>
    <n v="9000"/>
    <x v="0"/>
    <n v="15"/>
    <n v="500"/>
  </r>
  <r>
    <d v="2024-02-05T00:00:00"/>
    <s v="OpenClassrooms"/>
    <x v="1"/>
    <s v="2024-02-05-000163"/>
    <n v="840"/>
    <n v="168"/>
    <n v="1008"/>
    <x v="0"/>
    <n v="1"/>
    <n v="840"/>
  </r>
  <r>
    <d v="2024-02-05T00:00:00"/>
    <s v="OpenClassrooms"/>
    <x v="0"/>
    <s v="2024-02-05-000164"/>
    <n v="790"/>
    <n v="158"/>
    <n v="948"/>
    <x v="0"/>
    <n v="1"/>
    <n v="790"/>
  </r>
  <r>
    <d v="2024-02-23T00:00:00"/>
    <s v="EPSI"/>
    <x v="0"/>
    <s v="2024-02-23-000165"/>
    <n v="1148"/>
    <n v="0"/>
    <n v="1148"/>
    <x v="0"/>
    <n v="2"/>
    <n v="574"/>
  </r>
  <r>
    <d v="2024-02-26T00:00:00"/>
    <s v="Simplon"/>
    <x v="1"/>
    <s v="2024-02-26-000166"/>
    <n v="2000"/>
    <n v="0"/>
    <n v="2000"/>
    <x v="0"/>
    <n v="1"/>
    <n v="2000"/>
  </r>
  <r>
    <d v="2024-02-26T00:00:00"/>
    <s v="GCD"/>
    <x v="1"/>
    <s v="2024-02-26-000167"/>
    <n v="3900"/>
    <n v="0"/>
    <n v="3900"/>
    <x v="0"/>
    <n v="6"/>
    <n v="650"/>
  </r>
  <r>
    <d v="2024-02-26T00:00:00"/>
    <s v="OpenClassrooms"/>
    <x v="1"/>
    <s v="2024-02-26-000168"/>
    <n v="855"/>
    <n v="171"/>
    <n v="1026"/>
    <x v="0"/>
    <n v="2"/>
    <n v="750"/>
  </r>
  <r>
    <d v="2024-02-28T00:00:00"/>
    <s v="Vicinity"/>
    <x v="1"/>
    <s v="2024-02-27-000169"/>
    <n v="600"/>
    <n v="120"/>
    <n v="720"/>
    <x v="0"/>
    <n v="1"/>
    <n v="600"/>
  </r>
  <r>
    <d v="2024-02-28T00:00:00"/>
    <s v="Simplon"/>
    <x v="1"/>
    <s v="2024-02-28-000170"/>
    <n v="3650"/>
    <n v="0"/>
    <n v="3650"/>
    <x v="0"/>
    <n v="7"/>
    <n v="475"/>
  </r>
  <r>
    <d v="2024-02-29T00:00:00"/>
    <s v="Aleysia"/>
    <x v="0"/>
    <s v="2024-02-29-000171"/>
    <n v="7500"/>
    <n v="1500"/>
    <n v="9000"/>
    <x v="0"/>
    <n v="15"/>
    <n v="500"/>
  </r>
  <r>
    <d v="2024-03-05T00:00:00"/>
    <s v="OpenClassrooms"/>
    <x v="1"/>
    <s v="2024-03-05-000172"/>
    <n v="880"/>
    <n v="176"/>
    <n v="1056"/>
    <x v="0"/>
    <n v="1"/>
    <n v="880"/>
  </r>
  <r>
    <d v="2024-03-05T00:00:00"/>
    <s v="OpenClassrooms"/>
    <x v="0"/>
    <s v="2024-03-05-000173"/>
    <n v="880"/>
    <n v="176"/>
    <n v="1056"/>
    <x v="0"/>
    <n v="1"/>
    <n v="880"/>
  </r>
  <r>
    <d v="2024-03-08T00:00:00"/>
    <s v="OpenClassrooms"/>
    <x v="1"/>
    <s v="2024-03-08-000174"/>
    <n v="1000"/>
    <n v="200"/>
    <n v="1200"/>
    <x v="0"/>
    <n v="1"/>
    <n v="1000"/>
  </r>
  <r>
    <d v="2024-03-08T00:00:00"/>
    <s v="Simplon"/>
    <x v="0"/>
    <s v="2024-03-08-000175"/>
    <n v="475"/>
    <n v="0"/>
    <n v="475"/>
    <x v="0"/>
    <n v="1"/>
    <n v="475"/>
  </r>
  <r>
    <d v="2024-03-13T00:00:00"/>
    <s v="Sparks"/>
    <x v="1"/>
    <s v="2024-03-13-000176"/>
    <n v="750"/>
    <n v="0"/>
    <n v="750"/>
    <x v="0"/>
    <n v="1"/>
    <n v="750"/>
  </r>
  <r>
    <d v="2024-03-13T00:00:00"/>
    <s v="Vicinity"/>
    <x v="1"/>
    <s v="2024-03-13-000177"/>
    <n v="300"/>
    <n v="60"/>
    <n v="360"/>
    <x v="0"/>
    <n v="1"/>
    <n v="600"/>
  </r>
  <r>
    <d v="2024-03-27T00:00:00"/>
    <s v="OpenClassrooms"/>
    <x v="1"/>
    <s v="2024-03-22-000178"/>
    <n v="1065"/>
    <n v="213"/>
    <n v="1278"/>
    <x v="0"/>
    <n v="1"/>
    <n v="1065"/>
  </r>
  <r>
    <d v="2024-03-29T00:00:00"/>
    <s v="GCD"/>
    <x v="1"/>
    <s v="2024-03-29-000179"/>
    <n v="650"/>
    <n v="0"/>
    <n v="650"/>
    <x v="0"/>
    <n v="1"/>
    <n v="650"/>
  </r>
  <r>
    <d v="2024-03-29T00:00:00"/>
    <s v="Aleysia"/>
    <x v="0"/>
    <s v="2024-03-29-000180"/>
    <n v="7000"/>
    <n v="1400"/>
    <n v="8400"/>
    <x v="0"/>
    <n v="14"/>
    <n v="500"/>
  </r>
  <r>
    <d v="2024-03-30T00:00:00"/>
    <s v="Simplon"/>
    <x v="1"/>
    <s v="2024-03-29-000181"/>
    <n v="5542.5"/>
    <n v="0"/>
    <n v="5542.5"/>
    <x v="0"/>
    <n v="8"/>
    <n v="692.8125"/>
  </r>
  <r>
    <d v="2024-04-05T16:00:00"/>
    <s v="OpenClassrooms"/>
    <x v="1"/>
    <s v="2024-04-06-000190"/>
    <n v="598.4"/>
    <n v="119.68"/>
    <n v="718.0799999999999"/>
    <x v="0"/>
    <n v="1"/>
    <n v="598.4"/>
  </r>
  <r>
    <d v="2024-04-07T00:00:00"/>
    <s v="OpenClassrooms"/>
    <x v="0"/>
    <s v="2024-04-08-000191"/>
    <n v="596"/>
    <n v="119.2"/>
    <n v="715.2"/>
    <x v="0"/>
    <n v="1"/>
    <n v="596"/>
  </r>
  <r>
    <d v="2024-04-19T00:00:00"/>
    <s v="Simplon"/>
    <x v="0"/>
    <s v="2024-04-19-000192"/>
    <n v="950"/>
    <n v="0"/>
    <n v="950"/>
    <x v="0"/>
    <n v="2"/>
    <n v="475"/>
  </r>
  <r>
    <d v="2024-04-28T00:00:00"/>
    <s v="Simplon"/>
    <x v="1"/>
    <s v="2024-04-28-000193"/>
    <n v="3487.5"/>
    <n v="0"/>
    <n v="3487.5"/>
    <x v="0"/>
    <n v="6"/>
    <n v="581.25"/>
  </r>
  <r>
    <d v="2024-04-28T00:00:00"/>
    <s v="OpenClassrooms"/>
    <x v="1"/>
    <s v="2024-04-28-000194"/>
    <n v="825"/>
    <n v="165"/>
    <n v="990"/>
    <x v="0"/>
    <n v="6"/>
    <n v="137.5"/>
  </r>
  <r>
    <d v="2024-04-30T00:00:00"/>
    <s v="Aleysia"/>
    <x v="0"/>
    <s v="2024-04-30-000195"/>
    <n v="6500"/>
    <n v="1300"/>
    <n v="7800"/>
    <x v="0"/>
    <n v="13"/>
    <n v="500"/>
  </r>
  <r>
    <d v="2024-05-06T00:00:00"/>
    <s v="OpenClassrooms"/>
    <x v="0"/>
    <s v="2024-05-06-000196"/>
    <n v="410.6"/>
    <n v="82.12"/>
    <n v="492.72"/>
    <x v="0"/>
    <n v="1"/>
    <n v="410.6"/>
  </r>
  <r>
    <d v="2024-05-06T00:00:00"/>
    <s v="OpenClassrooms"/>
    <x v="1"/>
    <s v="2024-05-06-000197"/>
    <n v="200"/>
    <n v="40"/>
    <n v="240"/>
    <x v="0"/>
    <n v="2"/>
    <n v="750"/>
  </r>
  <r>
    <d v="2024-05-25T16:00:00"/>
    <s v="OpenClassrooms"/>
    <x v="1"/>
    <s v="2024-05-26-000198"/>
    <n v="1080"/>
    <n v="216"/>
    <n v="1296"/>
    <x v="0"/>
    <n v="2"/>
    <n v="750"/>
  </r>
  <r>
    <d v="2024-05-29T00:00:00"/>
    <s v="Sparks"/>
    <x v="1"/>
    <s v="2024-05-29-000199"/>
    <n v="1500"/>
    <n v="0"/>
    <n v="1500"/>
    <x v="0"/>
    <n v="2"/>
    <n v="750"/>
  </r>
  <r>
    <d v="2024-05-31T00:00:00"/>
    <s v="Aleysia"/>
    <x v="0"/>
    <s v="2024-05-31-000200"/>
    <n v="7500"/>
    <n v="1500"/>
    <n v="9000"/>
    <x v="0"/>
    <n v="15"/>
    <n v="500"/>
  </r>
  <r>
    <d v="2024-05-31T00:00:00"/>
    <s v="Simplon"/>
    <x v="1"/>
    <s v="2024-05-31-000201"/>
    <n v="4612.5"/>
    <n v="0"/>
    <n v="4612.5"/>
    <x v="0"/>
    <n v="7"/>
    <n v="658.9285714285714"/>
  </r>
  <r>
    <d v="2024-06-04T00:00:00"/>
    <s v="Simplon"/>
    <x v="0"/>
    <s v="2024-06-04-000202"/>
    <n v="950"/>
    <n v="0"/>
    <n v="950"/>
    <x v="0"/>
    <n v="2"/>
    <n v="475"/>
  </r>
  <r>
    <d v="2024-06-05T00:00:00"/>
    <s v="OpenClassrooms"/>
    <x v="1"/>
    <s v="2024-06-05-000203"/>
    <n v="355"/>
    <n v="71"/>
    <n v="426"/>
    <x v="0"/>
    <n v="2"/>
    <n v="750"/>
  </r>
  <r>
    <d v="2024-06-05T00:00:00"/>
    <s v="OpenClassrooms"/>
    <x v="0"/>
    <s v="2024-06-05-000204"/>
    <n v="650.2"/>
    <n v="130.04000000000002"/>
    <n v="780.24"/>
    <x v="0"/>
    <n v="1"/>
    <n v="650.2"/>
  </r>
  <r>
    <d v="2024-06-25T00:00:00"/>
    <s v="Sparks"/>
    <x v="1"/>
    <s v="2024-06-25-000207"/>
    <n v="1600"/>
    <n v="0"/>
    <n v="1600"/>
    <x v="0"/>
    <n v="2"/>
    <n v="800"/>
  </r>
  <r>
    <d v="2024-06-25T00:00:00"/>
    <s v="Vicinity"/>
    <x v="1"/>
    <s v="2024-06-25-000208"/>
    <n v="300"/>
    <n v="60"/>
    <n v="360"/>
    <x v="0"/>
    <n v="0.5"/>
    <n v="600"/>
  </r>
  <r>
    <d v="2024-06-27T00:00:00"/>
    <s v="Aleysia"/>
    <x v="0"/>
    <s v="2024-06-27-000209"/>
    <n v="7500"/>
    <n v="1500"/>
    <n v="9000"/>
    <x v="0"/>
    <n v="15"/>
    <n v="500"/>
  </r>
  <r>
    <d v="2024-06-30T00:00:00"/>
    <s v="Simplon"/>
    <x v="1"/>
    <s v="2024-06-28-000210"/>
    <n v="6550"/>
    <n v="0"/>
    <n v="6550"/>
    <x v="0"/>
    <n v="10"/>
    <n v="475"/>
  </r>
  <r>
    <d v="2024-07-04T00:00:00"/>
    <s v="Elli Up"/>
    <x v="1"/>
    <s v="2024-07-04-000211"/>
    <n v="2400"/>
    <n v="0"/>
    <n v="2400"/>
    <x v="0"/>
    <n v="2"/>
    <n v="1200"/>
  </r>
  <r>
    <d v="2024-07-05T00:00:00"/>
    <s v="OpenClassrooms"/>
    <x v="1"/>
    <s v="2024-07-05-000212"/>
    <n v="287.5"/>
    <n v="57.5"/>
    <n v="345"/>
    <x v="0"/>
    <n v="1"/>
    <n v="287.5"/>
  </r>
  <r>
    <d v="2024-07-05T00:00:00"/>
    <s v="OpenClassrooms"/>
    <x v="0"/>
    <s v="2024-07-05-000213"/>
    <n v="584.8"/>
    <n v="116.96"/>
    <n v="701.76"/>
    <x v="0"/>
    <n v="1"/>
    <n v="584.8"/>
  </r>
  <r>
    <d v="2024-07-06T00:00:00"/>
    <s v="Malt"/>
    <x v="0"/>
    <s v="2024-07-06-000214"/>
    <n v="500"/>
    <n v="100"/>
    <n v="600"/>
    <x v="0"/>
    <n v="1"/>
    <n v="500"/>
  </r>
  <r>
    <d v="2024-07-12T00:00:00"/>
    <s v="Malt"/>
    <x v="0"/>
    <s v="2024-07-12-000215"/>
    <n v="250"/>
    <n v="50"/>
    <n v="300"/>
    <x v="0"/>
    <n v="0.5"/>
    <n v="500"/>
  </r>
  <r>
    <d v="2024-07-22T00:00:00"/>
    <s v="Sparks"/>
    <x v="1"/>
    <s v="2024-07-22-000216"/>
    <n v="1600"/>
    <n v="0"/>
    <n v="1600"/>
    <x v="0"/>
    <n v="2"/>
    <n v="800"/>
  </r>
  <r>
    <d v="2024-07-24T00:00:00"/>
    <s v="Elli Up"/>
    <x v="1"/>
    <s v="2024-07-24-000217"/>
    <n v="1250"/>
    <n v="0"/>
    <n v="1250"/>
    <x v="0"/>
    <n v="3"/>
    <n v="1250"/>
  </r>
  <r>
    <d v="2024-07-24T00:00:00"/>
    <s v="Vicinity"/>
    <x v="1"/>
    <s v="2024-07-24-000218"/>
    <n v="300"/>
    <n v="60"/>
    <n v="360"/>
    <x v="0"/>
    <n v="0.5"/>
    <n v="600"/>
  </r>
  <r>
    <d v="2024-07-24T00:00:00"/>
    <s v="Simplon"/>
    <x v="1"/>
    <s v="2024-07-24-000219"/>
    <n v="6550"/>
    <n v="0"/>
    <n v="6550"/>
    <x v="0"/>
    <n v="10"/>
    <n v="475"/>
  </r>
  <r>
    <d v="2024-07-31T00:00:00"/>
    <s v="Aleysia"/>
    <x v="0"/>
    <s v="2024-07-31-000220"/>
    <n v="9000"/>
    <n v="1800"/>
    <n v="10800"/>
    <x v="0"/>
    <n v="18"/>
    <n v="500"/>
  </r>
  <r>
    <d v="2024-08-20T00:00:00"/>
    <s v="OpenClassrooms"/>
    <x v="1"/>
    <s v="2024-08-20-000221"/>
    <n v="230"/>
    <n v="46"/>
    <n v="276"/>
    <x v="0"/>
    <n v="2"/>
    <n v="750"/>
  </r>
  <r>
    <d v="2024-08-26T00:00:00"/>
    <s v="OpenClassrooms"/>
    <x v="0"/>
    <s v="2024-08-26-000222"/>
    <n v="307.6"/>
    <n v="61.52000000000001"/>
    <n v="369.12"/>
    <x v="0"/>
    <n v="1"/>
    <n v="307.6"/>
  </r>
  <r>
    <d v="2024-08-27T00:00:00"/>
    <s v="Simplon"/>
    <x v="1"/>
    <s v="2024-08-27-000223"/>
    <n v="950"/>
    <n v="0"/>
    <n v="950"/>
    <x v="0"/>
    <n v="2"/>
    <n v="475"/>
  </r>
  <r>
    <d v="2024-08-28T00:00:00"/>
    <s v="Elli Up"/>
    <x v="1"/>
    <s v="2024-08-28-000224"/>
    <n v="400"/>
    <n v="0"/>
    <n v="400"/>
    <x v="0"/>
    <n v="0.5"/>
    <n v="800"/>
  </r>
  <r>
    <d v="2024-08-28T00:00:00"/>
    <s v="Vicinity"/>
    <x v="1"/>
    <s v="2024-08-28-000225"/>
    <n v="300"/>
    <n v="60"/>
    <n v="360"/>
    <x v="0"/>
    <n v="0.5"/>
    <n v="600"/>
  </r>
  <r>
    <d v="2024-08-30T00:00:00"/>
    <s v="Aleysia"/>
    <x v="0"/>
    <s v="2024-08-30-000226"/>
    <n v="3000"/>
    <n v="600"/>
    <n v="3600"/>
    <x v="0"/>
    <n v="6"/>
    <n v="500"/>
  </r>
  <r>
    <d v="2024-09-05T00:00:00"/>
    <s v="OpenClassrooms"/>
    <x v="0"/>
    <s v="2024-09-05-000227"/>
    <n v="213.6"/>
    <n v="42.72"/>
    <n v="256.32"/>
    <x v="0"/>
    <n v="1"/>
    <n v="213.6"/>
  </r>
  <r>
    <d v="2024-09-10T00:00:00"/>
    <s v="Univ Paris 1"/>
    <x v="0"/>
    <s v="2024-09-10-000228"/>
    <n v="13283.64"/>
    <n v="2608.36"/>
    <n v="15892"/>
    <x v="0"/>
    <n v="16"/>
    <n v="800"/>
  </r>
  <r>
    <d v="2024-09-13T00:00:00"/>
    <s v="Simplon"/>
    <x v="1"/>
    <s v="2024-09-13-000229"/>
    <n v="1400"/>
    <n v="0"/>
    <n v="1400"/>
    <x v="0"/>
    <n v="2"/>
    <n v="700"/>
  </r>
  <r>
    <d v="2024-09-18T00:00:00"/>
    <s v="Sparks"/>
    <x v="1"/>
    <s v="2024-09-18-000230"/>
    <n v="1300"/>
    <n v="0"/>
    <n v="1300"/>
    <x v="0"/>
    <n v="2"/>
    <n v="650"/>
  </r>
  <r>
    <d v="2024-09-19T00:00:00"/>
    <s v="Simplon"/>
    <x v="1"/>
    <s v="2024-09-19-000231"/>
    <n v="2375"/>
    <n v="0"/>
    <n v="2375"/>
    <x v="0"/>
    <n v="5"/>
    <n v="475"/>
  </r>
  <r>
    <d v="2024-09-30T00:00:00"/>
    <s v="Aleysia"/>
    <x v="0"/>
    <s v="2024-09-30-000232"/>
    <n v="7250"/>
    <n v="1450"/>
    <n v="8700"/>
    <x v="0"/>
    <n v="14.5"/>
    <n v="500"/>
  </r>
  <r>
    <d v="2024-10-01T00:00:00"/>
    <s v="OnlyLyon"/>
    <x v="1"/>
    <s v="2024-10-01-000233"/>
    <n v="2850"/>
    <n v="0"/>
    <n v="2850"/>
    <x v="0"/>
    <n v="3"/>
    <n v="950"/>
  </r>
  <r>
    <d v="2024-10-01T00:00:00"/>
    <s v="Lyria"/>
    <x v="1"/>
    <s v="2024-10-01-000234"/>
    <n v="1900"/>
    <n v="0"/>
    <n v="1900"/>
    <x v="1"/>
    <n v="2"/>
    <n v="950"/>
  </r>
  <r>
    <d v="2024-10-07T00:00:00"/>
    <s v="OpenClassrooms"/>
    <x v="0"/>
    <s v="2024-10-07-000235"/>
    <n v="193.4"/>
    <n v="38.68000000000001"/>
    <n v="232.08"/>
    <x v="0"/>
    <n v="1"/>
    <n v="193.4"/>
  </r>
  <r>
    <d v="2024-10-10T00:00:00"/>
    <s v="Simplon"/>
    <x v="1"/>
    <s v="2024-10-10-000238"/>
    <n v="1425"/>
    <n v="0"/>
    <n v="1425"/>
    <x v="0"/>
    <n v="3"/>
    <n v="475"/>
  </r>
  <r>
    <d v="2024-10-10T00:00:00"/>
    <s v="Univ Paris 1"/>
    <x v="0"/>
    <s v="RECTIF AVOIR"/>
    <n v="-40.31"/>
    <n v="0"/>
    <n v="0"/>
    <x v="0"/>
    <n v="0"/>
    <n v="0"/>
  </r>
  <r>
    <d v="2024-10-21T00:00:00"/>
    <s v="Elli Up"/>
    <x v="1"/>
    <s v="2024-10-21-000239"/>
    <n v="800"/>
    <n v="0"/>
    <n v="800"/>
    <x v="0"/>
    <n v="1"/>
    <n v="800"/>
  </r>
  <r>
    <d v="2024-10-24T00:00:00"/>
    <s v="Aleysia"/>
    <x v="0"/>
    <s v="2024-10-24-000240"/>
    <n v="7000"/>
    <n v="1400"/>
    <n v="8400"/>
    <x v="0"/>
    <n v="14"/>
    <n v="500"/>
  </r>
  <r>
    <d v="2024-10-24T00:00:00"/>
    <s v="Simplon"/>
    <x v="0"/>
    <s v="2024-10-24-000241"/>
    <n v="1425"/>
    <n v="0"/>
    <n v="1425"/>
    <x v="0"/>
    <n v="3"/>
    <n v="475"/>
  </r>
  <r>
    <d v="2024-10-30T00:00:00"/>
    <s v="GEMA"/>
    <x v="1"/>
    <s v="2024-10-30-000242"/>
    <n v="2520"/>
    <n v="0"/>
    <n v="2520"/>
    <x v="0"/>
    <n v="4"/>
    <n v="630"/>
  </r>
  <r>
    <d v="2024-11-05T00:00:00"/>
    <s v="OpenClassrooms"/>
    <x v="0"/>
    <s v="2024-11-05-000243"/>
    <n v="294.7"/>
    <n v="58.94"/>
    <n v="353.64"/>
    <x v="0"/>
    <n v="1"/>
    <n v="294.7"/>
  </r>
  <r>
    <d v="2024-11-07T00:00:00"/>
    <s v="Sparks"/>
    <x v="1"/>
    <s v="2024-11-07-000244"/>
    <n v="2250"/>
    <n v="0"/>
    <n v="2250"/>
    <x v="0"/>
    <n v="3"/>
    <n v="750"/>
  </r>
  <r>
    <d v="2024-11-18T00:00:00"/>
    <s v="Oreegami"/>
    <x v="1"/>
    <s v="2024-11-18-000245"/>
    <n v="1960"/>
    <n v="392"/>
    <n v="2352"/>
    <x v="1"/>
    <n v="4"/>
    <n v="490"/>
  </r>
  <r>
    <d v="2024-11-20T00:00:00"/>
    <s v="Sparks"/>
    <x v="1"/>
    <s v="2024-11-20-000246"/>
    <n v="1300"/>
    <n v="0"/>
    <n v="1300"/>
    <x v="1"/>
    <n v="2"/>
    <n v="650"/>
  </r>
  <r>
    <d v="2024-11-20T00:00:00"/>
    <s v="Simplon"/>
    <x v="0"/>
    <s v="2024-11-20-000247"/>
    <n v="2375"/>
    <n v="0"/>
    <n v="2375"/>
    <x v="1"/>
    <n v="5"/>
    <n v="475"/>
  </r>
  <r>
    <d v="2024-11-28T00:00:00"/>
    <s v="Simplon"/>
    <x v="1"/>
    <s v="2024-11-28-000248"/>
    <n v="975"/>
    <n v="0"/>
    <n v="975"/>
    <x v="1"/>
    <n v="1"/>
    <n v="500"/>
  </r>
  <r>
    <d v="2024-11-28T00:00:00"/>
    <s v="SEB"/>
    <x v="1"/>
    <s v="2024-11-28-000249"/>
    <n v="8000"/>
    <n v="1600"/>
    <n v="9600"/>
    <x v="1"/>
    <n v="10"/>
    <n v="800"/>
  </r>
  <r>
    <d v="2024-11-28T00:00:00"/>
    <s v="Albert School"/>
    <x v="1"/>
    <s v="2024-11-28-000250"/>
    <n v="600"/>
    <n v="0"/>
    <n v="600"/>
    <x v="0"/>
    <n v="1"/>
    <n v="600"/>
  </r>
  <r>
    <d v="2024-11-29T00:00:00"/>
    <s v="Aleysia"/>
    <x v="0"/>
    <s v="2024-11-29-000251"/>
    <n v="7500"/>
    <n v="1500"/>
    <n v="9000"/>
    <x v="0"/>
    <n v="15"/>
    <n v="500"/>
  </r>
  <r>
    <d v="2024-12-02T00:00:00"/>
    <s v="GL events"/>
    <x v="0"/>
    <s v="2024-12-02-000252"/>
    <n v="5300"/>
    <n v="1060"/>
    <n v="6360"/>
    <x v="1"/>
    <n v="10"/>
    <n v="530"/>
  </r>
  <r>
    <d v="2024-12-02T00:00:00"/>
    <s v="Elli Up"/>
    <x v="1"/>
    <s v="2024-12-02-000253"/>
    <n v="650"/>
    <n v="0"/>
    <n v="650"/>
    <x v="0"/>
    <n v="1"/>
    <n v="650"/>
  </r>
  <r>
    <d v="2024-12-05T00:00:00"/>
    <s v="OpenClassrooms"/>
    <x v="0"/>
    <s v="2024-12-05-000254"/>
    <n v="227.4"/>
    <n v="45.480000000000004"/>
    <n v="272.88"/>
    <x v="0"/>
    <n v="1"/>
    <n v="227.4"/>
  </r>
  <r>
    <d v="2024-12-09T00:00:00"/>
    <s v="Elli Up"/>
    <x v="1"/>
    <s v=" 2024-12-09-000257"/>
    <n v="800"/>
    <n v="0"/>
    <n v="800"/>
    <x v="0"/>
    <n v="1"/>
    <n v="800"/>
  </r>
  <r>
    <d v="2024-12-09T00:00:00"/>
    <s v="Elli Up"/>
    <x v="1"/>
    <s v="2024-12-09-000255"/>
    <n v="230"/>
    <n v="0"/>
    <n v="230"/>
    <x v="1"/>
    <n v="1"/>
    <n v="230"/>
  </r>
  <r>
    <d v="2024-12-09T00:00:00"/>
    <s v="Elli Up"/>
    <x v="1"/>
    <s v="2024-12-09-000256"/>
    <n v="420"/>
    <n v="0"/>
    <n v="420"/>
    <x v="0"/>
    <n v="1"/>
    <n v="420"/>
  </r>
  <r>
    <d v="2024-12-11T00:00:00"/>
    <s v="Elli Up"/>
    <x v="1"/>
    <s v=" 2024-12-11-000258"/>
    <n v="1045"/>
    <n v="0"/>
    <n v="1045"/>
    <x v="0"/>
    <n v="1"/>
    <n v="720"/>
  </r>
  <r>
    <d v="2024-12-11T00:00:00"/>
    <s v="Albert School"/>
    <x v="1"/>
    <s v="2024-12-11-000259"/>
    <n v="1200"/>
    <n v="0"/>
    <n v="1200"/>
    <x v="1"/>
    <n v="2"/>
    <n v="600"/>
  </r>
  <r>
    <d v="2024-12-13T00:00:00"/>
    <s v="Sparks"/>
    <x v="1"/>
    <s v="2024-12-13-000260"/>
    <n v="1300"/>
    <n v="0"/>
    <n v="1300"/>
    <x v="1"/>
    <n v="2"/>
    <n v="650"/>
  </r>
  <r>
    <d v="2024-12-16T00:00:00"/>
    <s v="GL events"/>
    <x v="0"/>
    <s v="2024-12-16-000261"/>
    <n v="5300"/>
    <n v="1060"/>
    <n v="6360"/>
    <x v="1"/>
    <n v="10"/>
    <n v="530"/>
  </r>
  <r>
    <d v="2024-12-18T00:00:00"/>
    <s v="GEMA"/>
    <x v="1"/>
    <s v="2024-12-18-000262"/>
    <n v="1260"/>
    <n v="0"/>
    <n v="1260"/>
    <x v="1"/>
    <n v="2"/>
    <n v="630"/>
  </r>
  <r>
    <d v="2024-12-18T00:00:00"/>
    <s v="GL events"/>
    <x v="0"/>
    <s v="2024-12-18-000263"/>
    <n v="1575"/>
    <n v="315"/>
    <n v="1890"/>
    <x v="1"/>
    <n v="3.5"/>
    <n v="450"/>
  </r>
  <r>
    <d v="2024-12-19T00:00:00"/>
    <s v="Sparks"/>
    <x v="1"/>
    <s v="2024-12-19-000264"/>
    <n v="800"/>
    <n v="0"/>
    <n v="800"/>
    <x v="1"/>
    <n v="1"/>
    <n v="800"/>
  </r>
  <r>
    <d v="2024-12-20T00:00:00"/>
    <s v="Simplon"/>
    <x v="0"/>
    <s v="2024-12-20-000266"/>
    <n v="950"/>
    <n v="0"/>
    <n v="950"/>
    <x v="1"/>
    <n v="2"/>
    <n v="475"/>
  </r>
  <r>
    <d v="2024-12-20T00:00:00"/>
    <s v="Simplon"/>
    <x v="1"/>
    <s v="2024-12-20-000265"/>
    <n v="1900"/>
    <n v="0"/>
    <n v="1900"/>
    <x v="1"/>
    <n v="4"/>
    <n v="475"/>
  </r>
  <r>
    <d v="2024-12-24T00:00:00"/>
    <s v="Aleysia"/>
    <x v="0"/>
    <m/>
    <n v="6000"/>
    <n v="1200"/>
    <n v="7200"/>
    <x v="2"/>
    <n v="12"/>
    <n v="500"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  <r>
    <m/>
    <m/>
    <x v="2"/>
    <m/>
    <m/>
    <m/>
    <m/>
    <x v="3"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91">
  <r>
    <d v="2024-01-05T00:00:00"/>
    <s v="OpenClassrooms"/>
    <x v="0"/>
    <s v="2024-01-05-000151"/>
    <x v="0"/>
    <n v="132"/>
    <n v="792"/>
    <s v="oui"/>
    <n v="1"/>
    <n v="660"/>
    <n v="1"/>
    <n v="660"/>
    <m/>
    <n v="2024"/>
    <x v="0"/>
  </r>
  <r>
    <d v="2024-01-05T00:00:00"/>
    <s v="OpenClassrooms"/>
    <x v="1"/>
    <s v="2024-01-06-000152"/>
    <x v="1"/>
    <n v="236"/>
    <n v="1416"/>
    <s v="oui"/>
    <n v="2"/>
    <n v="590"/>
    <n v="2"/>
    <n v="590"/>
    <m/>
    <n v="2024"/>
    <x v="0"/>
  </r>
  <r>
    <d v="2024-01-23T00:00:00"/>
    <s v="EPSI"/>
    <x v="0"/>
    <s v="2024-01-23-000157"/>
    <x v="2"/>
    <n v="0"/>
    <n v="2296"/>
    <s v="oui"/>
    <n v="4"/>
    <n v="574"/>
    <n v="2"/>
    <n v="1148"/>
    <m/>
    <n v="2024"/>
    <x v="0"/>
  </r>
  <r>
    <d v="2024-01-23T00:00:00"/>
    <s v="OpenClassrooms"/>
    <x v="1"/>
    <s v="2024-01-23-000158"/>
    <x v="3"/>
    <n v="186"/>
    <n v="1116"/>
    <s v="oui"/>
    <n v="1"/>
    <n v="930"/>
    <n v="0"/>
    <e v="#DIV/0!"/>
    <m/>
    <n v="2024"/>
    <x v="0"/>
  </r>
  <r>
    <d v="2024-01-30T00:00:00"/>
    <s v="Simplon"/>
    <x v="1"/>
    <s v="2024-01-25-000159"/>
    <x v="4"/>
    <n v="0"/>
    <n v="3380"/>
    <s v="oui"/>
    <n v="7"/>
    <n v="450"/>
    <m/>
    <e v="#DIV/0!"/>
    <m/>
    <n v="2024"/>
    <x v="0"/>
  </r>
  <r>
    <d v="2024-01-30T00:00:00"/>
    <s v="GCD"/>
    <x v="1"/>
    <s v="2024-01-26-000160"/>
    <x v="5"/>
    <n v="0"/>
    <n v="9750"/>
    <s v="oui"/>
    <n v="15"/>
    <n v="650"/>
    <m/>
    <e v="#DIV/0!"/>
    <m/>
    <n v="2024"/>
    <x v="0"/>
  </r>
  <r>
    <d v="2024-01-30T00:00:00"/>
    <s v="Vicinity"/>
    <x v="1"/>
    <s v="2024-01-30-000161"/>
    <x v="6"/>
    <n v="180"/>
    <n v="1080"/>
    <s v="oui"/>
    <n v="1.5"/>
    <n v="600"/>
    <n v="1.5"/>
    <n v="600"/>
    <m/>
    <n v="2024"/>
    <x v="0"/>
  </r>
  <r>
    <d v="2024-01-31T00:00:00"/>
    <s v="Aleysia"/>
    <x v="0"/>
    <s v="2024-01-31-000162"/>
    <x v="7"/>
    <n v="1500"/>
    <n v="9000"/>
    <s v="oui"/>
    <n v="15"/>
    <n v="500"/>
    <n v="13"/>
    <n v="576.9230769230769"/>
    <m/>
    <n v="2024"/>
    <x v="0"/>
  </r>
  <r>
    <d v="2024-02-05T00:00:00"/>
    <s v="OpenClassrooms"/>
    <x v="1"/>
    <s v="2024-02-05-000163"/>
    <x v="8"/>
    <n v="168"/>
    <n v="1008"/>
    <s v="oui"/>
    <n v="1"/>
    <n v="840"/>
    <m/>
    <e v="#DIV/0!"/>
    <m/>
    <n v="2024"/>
    <x v="1"/>
  </r>
  <r>
    <d v="2024-02-05T00:00:00"/>
    <s v="OpenClassrooms"/>
    <x v="0"/>
    <s v="2024-02-05-000164"/>
    <x v="9"/>
    <n v="158"/>
    <n v="948"/>
    <s v="oui"/>
    <n v="1"/>
    <n v="790"/>
    <n v="1"/>
    <n v="790"/>
    <m/>
    <n v="2024"/>
    <x v="1"/>
  </r>
  <r>
    <d v="2024-02-23T00:00:00"/>
    <s v="EPSI"/>
    <x v="0"/>
    <s v="2024-02-23-000165"/>
    <x v="10"/>
    <n v="0"/>
    <n v="1148"/>
    <s v="oui"/>
    <n v="2"/>
    <n v="574"/>
    <m/>
    <e v="#DIV/0!"/>
    <m/>
    <n v="2024"/>
    <x v="1"/>
  </r>
  <r>
    <d v="2024-02-26T00:00:00"/>
    <s v="Simplon"/>
    <x v="1"/>
    <s v="2024-02-26-000166"/>
    <x v="11"/>
    <n v="0"/>
    <n v="2000"/>
    <s v="oui"/>
    <n v="1"/>
    <n v="2000"/>
    <n v="1"/>
    <n v="2000"/>
    <m/>
    <n v="2024"/>
    <x v="1"/>
  </r>
  <r>
    <d v="2024-02-26T00:00:00"/>
    <s v="GCD"/>
    <x v="1"/>
    <s v="2024-02-26-000167"/>
    <x v="12"/>
    <n v="0"/>
    <n v="3900"/>
    <s v="oui"/>
    <n v="6"/>
    <n v="650"/>
    <m/>
    <e v="#DIV/0!"/>
    <m/>
    <n v="2024"/>
    <x v="1"/>
  </r>
  <r>
    <d v="2024-02-26T00:00:00"/>
    <s v="OpenClassrooms"/>
    <x v="1"/>
    <s v="2024-02-26-000168"/>
    <x v="13"/>
    <n v="171"/>
    <n v="1026"/>
    <s v="oui"/>
    <n v="2"/>
    <n v="750"/>
    <m/>
    <e v="#DIV/0!"/>
    <m/>
    <n v="2024"/>
    <x v="1"/>
  </r>
  <r>
    <d v="2024-02-28T00:00:00"/>
    <s v="Vicinity"/>
    <x v="1"/>
    <s v="2024-02-27-000169"/>
    <x v="14"/>
    <n v="120"/>
    <n v="720"/>
    <s v="oui"/>
    <n v="1"/>
    <n v="600"/>
    <m/>
    <e v="#DIV/0!"/>
    <m/>
    <n v="2024"/>
    <x v="1"/>
  </r>
  <r>
    <d v="2024-02-28T00:00:00"/>
    <s v="Simplon"/>
    <x v="1"/>
    <s v="2024-02-28-000170"/>
    <x v="15"/>
    <n v="0"/>
    <n v="3650"/>
    <s v="oui"/>
    <n v="7"/>
    <n v="475"/>
    <n v="7"/>
    <n v="521.4285714285714"/>
    <m/>
    <n v="2024"/>
    <x v="1"/>
  </r>
  <r>
    <d v="2024-02-29T00:00:00"/>
    <s v="Aleysia"/>
    <x v="0"/>
    <s v="2024-02-29-000171"/>
    <x v="7"/>
    <n v="1500"/>
    <n v="9000"/>
    <s v="oui"/>
    <n v="15"/>
    <n v="500"/>
    <n v="13"/>
    <n v="576.9230769230769"/>
    <m/>
    <n v="2024"/>
    <x v="1"/>
  </r>
  <r>
    <d v="2024-03-05T00:00:00"/>
    <s v="OpenClassrooms"/>
    <x v="1"/>
    <s v="2024-03-05-000172"/>
    <x v="16"/>
    <n v="176"/>
    <n v="1056"/>
    <s v="oui"/>
    <n v="1"/>
    <n v="880"/>
    <m/>
    <e v="#DIV/0!"/>
    <m/>
    <n v="2024"/>
    <x v="2"/>
  </r>
  <r>
    <d v="2024-03-05T00:00:00"/>
    <s v="OpenClassrooms"/>
    <x v="0"/>
    <s v="2024-03-05-000173"/>
    <x v="16"/>
    <n v="176"/>
    <n v="1056"/>
    <s v="oui"/>
    <n v="1"/>
    <n v="880"/>
    <m/>
    <e v="#DIV/0!"/>
    <m/>
    <n v="2024"/>
    <x v="2"/>
  </r>
  <r>
    <d v="2024-03-08T00:00:00"/>
    <s v="OpenClassrooms"/>
    <x v="1"/>
    <s v="2024-03-08-000174"/>
    <x v="17"/>
    <n v="200"/>
    <n v="1200"/>
    <s v="oui"/>
    <n v="1"/>
    <n v="1000"/>
    <m/>
    <e v="#DIV/0!"/>
    <m/>
    <n v="2024"/>
    <x v="2"/>
  </r>
  <r>
    <d v="2024-03-08T00:00:00"/>
    <s v="Simplon"/>
    <x v="0"/>
    <s v="2024-03-08-000175"/>
    <x v="18"/>
    <n v="0"/>
    <n v="475"/>
    <s v="oui"/>
    <n v="1"/>
    <n v="475"/>
    <m/>
    <e v="#DIV/0!"/>
    <m/>
    <n v="2024"/>
    <x v="2"/>
  </r>
  <r>
    <d v="2024-03-13T00:00:00"/>
    <s v="Sparks"/>
    <x v="1"/>
    <s v="2024-03-13-000176"/>
    <x v="19"/>
    <n v="0"/>
    <n v="750"/>
    <s v="oui"/>
    <n v="1"/>
    <n v="750"/>
    <m/>
    <e v="#DIV/0!"/>
    <m/>
    <n v="2024"/>
    <x v="2"/>
  </r>
  <r>
    <d v="2024-03-13T00:00:00"/>
    <s v="Vicinity"/>
    <x v="1"/>
    <s v="2024-03-13-000177"/>
    <x v="20"/>
    <n v="60"/>
    <n v="360"/>
    <s v="oui"/>
    <n v="1"/>
    <n v="600"/>
    <n v="0.5"/>
    <n v="600"/>
    <m/>
    <n v="2024"/>
    <x v="2"/>
  </r>
  <r>
    <d v="2024-03-27T00:00:00"/>
    <s v="OpenClassrooms"/>
    <x v="1"/>
    <s v="2024-03-22-000178"/>
    <x v="21"/>
    <n v="213"/>
    <n v="1278"/>
    <s v="oui"/>
    <n v="1"/>
    <n v="1065"/>
    <m/>
    <e v="#DIV/0!"/>
    <m/>
    <n v="2024"/>
    <x v="2"/>
  </r>
  <r>
    <d v="2024-03-29T00:00:00"/>
    <s v="GCD"/>
    <x v="1"/>
    <s v="2024-03-29-000179"/>
    <x v="22"/>
    <n v="0"/>
    <n v="650"/>
    <s v="oui"/>
    <n v="1"/>
    <n v="650"/>
    <m/>
    <e v="#DIV/0!"/>
    <m/>
    <n v="2024"/>
    <x v="2"/>
  </r>
  <r>
    <d v="2024-03-29T00:00:00"/>
    <s v="Aleysia"/>
    <x v="0"/>
    <s v="2024-03-29-000180"/>
    <x v="23"/>
    <n v="1400"/>
    <n v="8400"/>
    <s v="oui"/>
    <n v="14"/>
    <n v="500"/>
    <n v="12"/>
    <n v="583.3333333333334"/>
    <m/>
    <n v="2024"/>
    <x v="2"/>
  </r>
  <r>
    <d v="2024-03-30T00:00:00"/>
    <s v="Simplon"/>
    <x v="1"/>
    <s v="2024-03-29-000181"/>
    <x v="24"/>
    <n v="0"/>
    <n v="5542.5"/>
    <s v="oui"/>
    <n v="8"/>
    <n v="692.8125"/>
    <m/>
    <e v="#DIV/0!"/>
    <m/>
    <n v="2024"/>
    <x v="2"/>
  </r>
  <r>
    <d v="2024-04-05T16:00:00"/>
    <s v="OpenClassrooms"/>
    <x v="1"/>
    <s v="2024-04-06-000190"/>
    <x v="25"/>
    <n v="119.68"/>
    <n v="718.0799999999999"/>
    <s v="oui"/>
    <n v="1"/>
    <n v="598.4"/>
    <m/>
    <e v="#DIV/0!"/>
    <m/>
    <n v="2024"/>
    <x v="3"/>
  </r>
  <r>
    <d v="2024-04-07T00:00:00"/>
    <s v="OpenClassrooms"/>
    <x v="0"/>
    <s v="2024-04-08-000191"/>
    <x v="26"/>
    <n v="119.2"/>
    <n v="715.2"/>
    <s v="oui"/>
    <n v="1"/>
    <n v="596"/>
    <m/>
    <e v="#DIV/0!"/>
    <m/>
    <n v="2024"/>
    <x v="3"/>
  </r>
  <r>
    <d v="2024-04-19T00:00:00"/>
    <s v="Simplon"/>
    <x v="0"/>
    <s v="2024-04-19-000192"/>
    <x v="27"/>
    <n v="0"/>
    <n v="950"/>
    <s v="oui"/>
    <n v="2"/>
    <n v="475"/>
    <m/>
    <e v="#DIV/0!"/>
    <m/>
    <n v="2024"/>
    <x v="3"/>
  </r>
  <r>
    <d v="2024-04-28T00:00:00"/>
    <s v="Simplon"/>
    <x v="1"/>
    <s v="2024-04-28-000193"/>
    <x v="28"/>
    <n v="0"/>
    <n v="3487.5"/>
    <s v="oui"/>
    <n v="6"/>
    <n v="581.25"/>
    <m/>
    <e v="#DIV/0!"/>
    <m/>
    <n v="2024"/>
    <x v="3"/>
  </r>
  <r>
    <d v="2024-04-28T00:00:00"/>
    <s v="OpenClassrooms"/>
    <x v="1"/>
    <s v="2024-04-28-000194"/>
    <x v="29"/>
    <n v="165"/>
    <n v="990"/>
    <s v="oui"/>
    <n v="6"/>
    <n v="137.5"/>
    <m/>
    <e v="#DIV/0!"/>
    <m/>
    <n v="2024"/>
    <x v="3"/>
  </r>
  <r>
    <d v="2024-04-30T00:00:00"/>
    <s v="Aleysia"/>
    <x v="0"/>
    <s v="2024-04-30-000195"/>
    <x v="30"/>
    <n v="1300"/>
    <n v="7800"/>
    <s v="oui"/>
    <n v="13"/>
    <n v="500"/>
    <n v="11"/>
    <n v="590.9090909090909"/>
    <m/>
    <n v="2024"/>
    <x v="3"/>
  </r>
  <r>
    <d v="2024-05-06T00:00:00"/>
    <s v="OpenClassrooms"/>
    <x v="0"/>
    <s v="2024-05-06-000196"/>
    <x v="31"/>
    <n v="82.12"/>
    <n v="492.72"/>
    <s v="oui"/>
    <n v="1"/>
    <n v="410.6"/>
    <m/>
    <e v="#DIV/0!"/>
    <m/>
    <n v="2024"/>
    <x v="4"/>
  </r>
  <r>
    <d v="2024-05-06T00:00:00"/>
    <s v="OpenClassrooms"/>
    <x v="1"/>
    <s v="2024-05-06-000197"/>
    <x v="32"/>
    <n v="40"/>
    <n v="240"/>
    <s v="oui"/>
    <n v="2"/>
    <n v="750"/>
    <m/>
    <e v="#DIV/0!"/>
    <m/>
    <n v="2024"/>
    <x v="4"/>
  </r>
  <r>
    <d v="2024-05-25T16:00:00"/>
    <s v="OpenClassrooms"/>
    <x v="1"/>
    <s v="2024-05-26-000198"/>
    <x v="33"/>
    <n v="216"/>
    <n v="1296"/>
    <s v="oui"/>
    <n v="2"/>
    <n v="750"/>
    <m/>
    <e v="#DIV/0!"/>
    <m/>
    <n v="2024"/>
    <x v="4"/>
  </r>
  <r>
    <d v="2024-05-29T00:00:00"/>
    <s v="Sparks"/>
    <x v="1"/>
    <s v="2024-05-29-000199"/>
    <x v="34"/>
    <n v="0"/>
    <n v="1500"/>
    <s v="oui"/>
    <n v="2"/>
    <n v="750"/>
    <m/>
    <e v="#DIV/0!"/>
    <m/>
    <n v="2024"/>
    <x v="4"/>
  </r>
  <r>
    <d v="2024-05-31T00:00:00"/>
    <s v="Aleysia"/>
    <x v="0"/>
    <s v="2024-05-31-000200"/>
    <x v="7"/>
    <n v="1500"/>
    <n v="9000"/>
    <s v="oui"/>
    <n v="15"/>
    <n v="500"/>
    <n v="13"/>
    <n v="576.9230769230769"/>
    <m/>
    <n v="2024"/>
    <x v="4"/>
  </r>
  <r>
    <d v="2024-05-31T00:00:00"/>
    <s v="Simplon"/>
    <x v="1"/>
    <s v="2024-05-31-000201"/>
    <x v="35"/>
    <n v="0"/>
    <n v="4612.5"/>
    <s v="oui"/>
    <n v="7"/>
    <n v="658.9285714285714"/>
    <m/>
    <e v="#DIV/0!"/>
    <m/>
    <n v="2024"/>
    <x v="4"/>
  </r>
  <r>
    <d v="2024-06-04T00:00:00"/>
    <s v="Simplon"/>
    <x v="0"/>
    <s v="2024-06-04-000202"/>
    <x v="27"/>
    <n v="0"/>
    <n v="950"/>
    <s v="oui"/>
    <n v="2"/>
    <n v="475"/>
    <m/>
    <e v="#DIV/0!"/>
    <m/>
    <n v="2024"/>
    <x v="5"/>
  </r>
  <r>
    <d v="2024-06-05T00:00:00"/>
    <s v="OpenClassrooms"/>
    <x v="1"/>
    <s v="2024-06-05-000203"/>
    <x v="36"/>
    <n v="71"/>
    <n v="426"/>
    <s v="oui"/>
    <n v="2"/>
    <n v="750"/>
    <m/>
    <e v="#DIV/0!"/>
    <m/>
    <n v="2024"/>
    <x v="5"/>
  </r>
  <r>
    <d v="2024-06-05T00:00:00"/>
    <s v="OpenClassrooms"/>
    <x v="0"/>
    <s v="2024-06-05-000204"/>
    <x v="37"/>
    <n v="130.04000000000002"/>
    <n v="780.24"/>
    <s v="oui"/>
    <n v="1"/>
    <n v="650.2"/>
    <m/>
    <e v="#DIV/0!"/>
    <m/>
    <n v="2024"/>
    <x v="5"/>
  </r>
  <r>
    <d v="2024-06-25T00:00:00"/>
    <s v="Sparks"/>
    <x v="1"/>
    <s v="2024-06-25-000207"/>
    <x v="38"/>
    <n v="0"/>
    <n v="1600"/>
    <s v="oui"/>
    <n v="2"/>
    <n v="800"/>
    <m/>
    <e v="#DIV/0!"/>
    <m/>
    <n v="2024"/>
    <x v="5"/>
  </r>
  <r>
    <d v="2024-06-25T00:00:00"/>
    <s v="Vicinity"/>
    <x v="1"/>
    <s v="2024-06-25-000208"/>
    <x v="20"/>
    <n v="60"/>
    <n v="360"/>
    <s v="oui"/>
    <n v="0.5"/>
    <n v="600"/>
    <m/>
    <e v="#DIV/0!"/>
    <m/>
    <n v="2024"/>
    <x v="5"/>
  </r>
  <r>
    <d v="2024-06-27T00:00:00"/>
    <s v="Aleysia"/>
    <x v="0"/>
    <s v="2024-06-27-000209"/>
    <x v="7"/>
    <n v="1500"/>
    <n v="9000"/>
    <s v="oui"/>
    <n v="15"/>
    <n v="500"/>
    <n v="12"/>
    <n v="625"/>
    <m/>
    <n v="2024"/>
    <x v="5"/>
  </r>
  <r>
    <d v="2024-06-30T00:00:00"/>
    <s v="Simplon"/>
    <x v="1"/>
    <s v="2024-06-28-000210"/>
    <x v="39"/>
    <n v="0"/>
    <n v="6550"/>
    <s v="oui"/>
    <n v="10"/>
    <n v="475"/>
    <m/>
    <e v="#DIV/0!"/>
    <m/>
    <n v="2024"/>
    <x v="5"/>
  </r>
  <r>
    <d v="2024-07-04T00:00:00"/>
    <s v="Elli Up"/>
    <x v="1"/>
    <s v="2024-07-04-000211"/>
    <x v="40"/>
    <n v="0"/>
    <n v="2400"/>
    <s v="oui"/>
    <n v="2"/>
    <n v="1200"/>
    <m/>
    <e v="#DIV/0!"/>
    <m/>
    <n v="2024"/>
    <x v="6"/>
  </r>
  <r>
    <d v="2024-07-05T00:00:00"/>
    <s v="OpenClassrooms"/>
    <x v="1"/>
    <s v="2024-07-05-000212"/>
    <x v="41"/>
    <n v="57.5"/>
    <n v="345"/>
    <s v="oui"/>
    <n v="1"/>
    <n v="287.5"/>
    <m/>
    <e v="#DIV/0!"/>
    <m/>
    <n v="2024"/>
    <x v="6"/>
  </r>
  <r>
    <d v="2024-07-05T00:00:00"/>
    <s v="OpenClassrooms"/>
    <x v="0"/>
    <s v="2024-07-05-000213"/>
    <x v="42"/>
    <n v="116.96"/>
    <n v="701.76"/>
    <s v="oui"/>
    <n v="1"/>
    <n v="584.8"/>
    <m/>
    <e v="#DIV/0!"/>
    <m/>
    <n v="2024"/>
    <x v="6"/>
  </r>
  <r>
    <d v="2024-07-06T00:00:00"/>
    <s v="Malt"/>
    <x v="0"/>
    <s v="2024-07-06-000214"/>
    <x v="43"/>
    <n v="100"/>
    <n v="600"/>
    <s v="oui"/>
    <n v="1"/>
    <n v="500"/>
    <m/>
    <e v="#DIV/0!"/>
    <m/>
    <n v="2024"/>
    <x v="6"/>
  </r>
  <r>
    <d v="2024-07-12T00:00:00"/>
    <s v="Malt"/>
    <x v="0"/>
    <s v="2024-07-12-000215"/>
    <x v="44"/>
    <n v="50"/>
    <n v="300"/>
    <s v="oui"/>
    <n v="0.5"/>
    <n v="500"/>
    <m/>
    <e v="#DIV/0!"/>
    <m/>
    <n v="2024"/>
    <x v="6"/>
  </r>
  <r>
    <d v="2024-07-22T00:00:00"/>
    <s v="Sparks"/>
    <x v="1"/>
    <s v="2024-07-22-000216"/>
    <x v="38"/>
    <n v="0"/>
    <n v="1600"/>
    <s v="oui"/>
    <n v="2"/>
    <n v="800"/>
    <m/>
    <e v="#DIV/0!"/>
    <m/>
    <n v="2024"/>
    <x v="6"/>
  </r>
  <r>
    <d v="2024-07-24T00:00:00"/>
    <s v="Elli Up"/>
    <x v="1"/>
    <s v="2024-07-24-000217"/>
    <x v="45"/>
    <n v="0"/>
    <n v="1250"/>
    <s v="oui"/>
    <n v="3"/>
    <n v="1250"/>
    <m/>
    <e v="#DIV/0!"/>
    <m/>
    <n v="2024"/>
    <x v="6"/>
  </r>
  <r>
    <d v="2024-07-24T00:00:00"/>
    <s v="Vicinity"/>
    <x v="1"/>
    <s v="2024-07-24-000218"/>
    <x v="20"/>
    <n v="60"/>
    <n v="360"/>
    <s v="oui"/>
    <n v="0.5"/>
    <n v="600"/>
    <m/>
    <e v="#DIV/0!"/>
    <m/>
    <n v="2024"/>
    <x v="6"/>
  </r>
  <r>
    <d v="2024-07-24T00:00:00"/>
    <s v="Simplon"/>
    <x v="1"/>
    <s v="2024-07-24-000219"/>
    <x v="39"/>
    <n v="0"/>
    <n v="6550"/>
    <s v="oui"/>
    <n v="10"/>
    <n v="475"/>
    <m/>
    <e v="#DIV/0!"/>
    <m/>
    <n v="2024"/>
    <x v="6"/>
  </r>
  <r>
    <d v="2024-07-31T00:00:00"/>
    <s v="Aleysia"/>
    <x v="0"/>
    <s v="2024-07-31-000220"/>
    <x v="46"/>
    <n v="1800"/>
    <n v="10800"/>
    <s v="oui"/>
    <n v="18"/>
    <n v="500"/>
    <n v="13"/>
    <n v="692.3076923076923"/>
    <m/>
    <n v="2024"/>
    <x v="6"/>
  </r>
  <r>
    <d v="2024-08-20T00:00:00"/>
    <s v="OpenClassrooms"/>
    <x v="1"/>
    <s v="2024-08-20-000221"/>
    <x v="47"/>
    <n v="46"/>
    <n v="276"/>
    <s v="oui"/>
    <n v="2"/>
    <n v="750"/>
    <m/>
    <e v="#DIV/0!"/>
    <m/>
    <n v="2024"/>
    <x v="7"/>
  </r>
  <r>
    <d v="2024-08-26T00:00:00"/>
    <s v="OpenClassrooms"/>
    <x v="0"/>
    <s v="2024-08-26-000222"/>
    <x v="48"/>
    <n v="61.52000000000001"/>
    <n v="369.12"/>
    <s v="oui"/>
    <n v="1"/>
    <n v="307.6"/>
    <m/>
    <e v="#DIV/0!"/>
    <m/>
    <n v="2024"/>
    <x v="7"/>
  </r>
  <r>
    <d v="2024-08-27T00:00:00"/>
    <s v="Simplon"/>
    <x v="1"/>
    <s v="2024-08-27-000223"/>
    <x v="27"/>
    <n v="0"/>
    <n v="950"/>
    <s v="oui"/>
    <n v="2"/>
    <n v="475"/>
    <m/>
    <e v="#DIV/0!"/>
    <m/>
    <n v="2024"/>
    <x v="7"/>
  </r>
  <r>
    <d v="2024-08-28T00:00:00"/>
    <s v="Elli Up"/>
    <x v="1"/>
    <s v="2024-08-28-000224"/>
    <x v="49"/>
    <n v="0"/>
    <n v="400"/>
    <s v="oui"/>
    <n v="0.5"/>
    <n v="800"/>
    <m/>
    <e v="#DIV/0!"/>
    <m/>
    <n v="2024"/>
    <x v="7"/>
  </r>
  <r>
    <d v="2024-08-28T00:00:00"/>
    <s v="Vicinity"/>
    <x v="1"/>
    <s v="2024-08-28-000225"/>
    <x v="20"/>
    <n v="60"/>
    <n v="360"/>
    <s v="oui"/>
    <n v="0.5"/>
    <n v="600"/>
    <m/>
    <e v="#DIV/0!"/>
    <m/>
    <n v="2024"/>
    <x v="7"/>
  </r>
  <r>
    <d v="2024-08-30T00:00:00"/>
    <s v="Aleysia"/>
    <x v="0"/>
    <s v="2024-08-30-000226"/>
    <x v="50"/>
    <n v="600"/>
    <n v="3600"/>
    <s v="oui"/>
    <n v="6"/>
    <n v="500"/>
    <n v="6"/>
    <n v="500"/>
    <m/>
    <n v="2024"/>
    <x v="7"/>
  </r>
  <r>
    <d v="2024-09-05T00:00:00"/>
    <s v="OpenClassrooms"/>
    <x v="0"/>
    <s v="2024-09-05-000227"/>
    <x v="51"/>
    <n v="42.72"/>
    <n v="256.32"/>
    <s v="oui"/>
    <n v="1"/>
    <n v="213.6"/>
    <m/>
    <e v="#DIV/0!"/>
    <m/>
    <n v="2024"/>
    <x v="8"/>
  </r>
  <r>
    <d v="2024-09-10T00:00:00"/>
    <s v="Univ Paris 1"/>
    <x v="0"/>
    <s v="2024-09-10-000228"/>
    <x v="52"/>
    <n v="2608.36"/>
    <n v="15892"/>
    <s v="oui"/>
    <n v="16"/>
    <n v="800"/>
    <m/>
    <e v="#DIV/0!"/>
    <m/>
    <n v="2024"/>
    <x v="8"/>
  </r>
  <r>
    <d v="2024-09-13T00:00:00"/>
    <s v="Simplon"/>
    <x v="1"/>
    <s v="2024-09-13-000229"/>
    <x v="53"/>
    <n v="0"/>
    <n v="1400"/>
    <s v="oui"/>
    <n v="2"/>
    <n v="700"/>
    <m/>
    <e v="#DIV/0!"/>
    <m/>
    <n v="2024"/>
    <x v="8"/>
  </r>
  <r>
    <d v="2024-09-18T00:00:00"/>
    <s v="Sparks"/>
    <x v="1"/>
    <s v="2024-09-18-000230"/>
    <x v="54"/>
    <n v="0"/>
    <n v="1300"/>
    <s v="oui"/>
    <n v="2"/>
    <n v="650"/>
    <m/>
    <e v="#DIV/0!"/>
    <m/>
    <n v="2024"/>
    <x v="8"/>
  </r>
  <r>
    <d v="2024-09-19T00:00:00"/>
    <s v="Simplon"/>
    <x v="1"/>
    <s v="2024-09-19-000231"/>
    <x v="55"/>
    <n v="0"/>
    <n v="2375"/>
    <s v="oui"/>
    <n v="5"/>
    <n v="475"/>
    <m/>
    <e v="#DIV/0!"/>
    <m/>
    <n v="2024"/>
    <x v="8"/>
  </r>
  <r>
    <d v="2024-09-30T00:00:00"/>
    <s v="Aleysia"/>
    <x v="0"/>
    <s v="2024-09-30-000232"/>
    <x v="56"/>
    <n v="1450"/>
    <n v="8700"/>
    <s v="oui"/>
    <n v="14.5"/>
    <n v="500"/>
    <n v="11"/>
    <n v="659.0909090909091"/>
    <m/>
    <n v="2024"/>
    <x v="8"/>
  </r>
  <r>
    <d v="2024-10-01T00:00:00"/>
    <s v="OnlyLyon"/>
    <x v="1"/>
    <s v="2024-10-01-000233"/>
    <x v="57"/>
    <n v="0"/>
    <n v="2850"/>
    <s v="oui"/>
    <n v="3"/>
    <n v="950"/>
    <m/>
    <e v="#DIV/0!"/>
    <m/>
    <n v="2024"/>
    <x v="9"/>
  </r>
  <r>
    <d v="2024-10-01T00:00:00"/>
    <s v="Lyria"/>
    <x v="1"/>
    <s v="2024-10-01-000234"/>
    <x v="58"/>
    <n v="0"/>
    <n v="1900"/>
    <s v="non"/>
    <n v="2"/>
    <n v="950"/>
    <m/>
    <e v="#DIV/0!"/>
    <m/>
    <n v="2024"/>
    <x v="9"/>
  </r>
  <r>
    <d v="2024-10-07T00:00:00"/>
    <s v="OpenClassrooms"/>
    <x v="0"/>
    <s v="2024-10-07-000235"/>
    <x v="59"/>
    <n v="38.68000000000001"/>
    <n v="232.08"/>
    <s v="oui"/>
    <n v="1"/>
    <n v="193.4"/>
    <m/>
    <e v="#DIV/0!"/>
    <m/>
    <n v="2024"/>
    <x v="9"/>
  </r>
  <r>
    <d v="2024-10-10T00:00:00"/>
    <s v="Simplon"/>
    <x v="1"/>
    <s v="2024-10-10-000238"/>
    <x v="60"/>
    <n v="0"/>
    <n v="1425"/>
    <s v="oui"/>
    <n v="3"/>
    <n v="475"/>
    <m/>
    <e v="#DIV/0!"/>
    <m/>
    <n v="2024"/>
    <x v="9"/>
  </r>
  <r>
    <d v="2024-10-10T00:00:00"/>
    <s v="Univ Paris 1"/>
    <x v="0"/>
    <s v="RECTIF AVOIR"/>
    <x v="61"/>
    <n v="0"/>
    <n v="0"/>
    <s v="oui"/>
    <n v="0"/>
    <n v="0"/>
    <m/>
    <e v="#DIV/0!"/>
    <m/>
    <n v="2024"/>
    <x v="9"/>
  </r>
  <r>
    <d v="2024-10-21T00:00:00"/>
    <s v="Elli Up"/>
    <x v="1"/>
    <s v="2024-10-21-000239"/>
    <x v="62"/>
    <n v="0"/>
    <n v="800"/>
    <s v="oui"/>
    <n v="1"/>
    <n v="800"/>
    <m/>
    <e v="#DIV/0!"/>
    <m/>
    <n v="2024"/>
    <x v="9"/>
  </r>
  <r>
    <d v="2024-10-24T00:00:00"/>
    <s v="Aleysia"/>
    <x v="0"/>
    <s v="2024-10-24-000240"/>
    <x v="23"/>
    <n v="1400"/>
    <n v="8400"/>
    <s v="oui"/>
    <n v="14"/>
    <n v="500"/>
    <n v="12"/>
    <n v="583.3333333333334"/>
    <m/>
    <n v="2024"/>
    <x v="9"/>
  </r>
  <r>
    <d v="2024-10-24T00:00:00"/>
    <s v="Simplon"/>
    <x v="0"/>
    <s v="2024-10-24-000241"/>
    <x v="60"/>
    <n v="0"/>
    <n v="1425"/>
    <s v="oui"/>
    <n v="3"/>
    <n v="475"/>
    <m/>
    <e v="#DIV/0!"/>
    <m/>
    <n v="2024"/>
    <x v="9"/>
  </r>
  <r>
    <d v="2024-10-30T00:00:00"/>
    <s v="GEMA"/>
    <x v="1"/>
    <s v="2024-10-30-000242"/>
    <x v="63"/>
    <n v="0"/>
    <n v="2520"/>
    <s v="oui"/>
    <n v="4"/>
    <n v="630"/>
    <m/>
    <e v="#DIV/0!"/>
    <m/>
    <n v="2024"/>
    <x v="9"/>
  </r>
  <r>
    <d v="2024-11-05T00:00:00"/>
    <s v="OpenClassrooms"/>
    <x v="0"/>
    <s v="2024-11-05-000243"/>
    <x v="64"/>
    <n v="58.94"/>
    <n v="353.64"/>
    <s v="oui"/>
    <n v="1"/>
    <n v="294.7"/>
    <m/>
    <e v="#DIV/0!"/>
    <m/>
    <n v="2024"/>
    <x v="10"/>
  </r>
  <r>
    <d v="2024-11-07T00:00:00"/>
    <s v="Sparks"/>
    <x v="1"/>
    <s v="2024-11-07-000244"/>
    <x v="65"/>
    <n v="0"/>
    <n v="2250"/>
    <s v="oui"/>
    <n v="3"/>
    <n v="750"/>
    <m/>
    <e v="#DIV/0!"/>
    <m/>
    <n v="2024"/>
    <x v="10"/>
  </r>
  <r>
    <d v="2024-11-18T00:00:00"/>
    <s v="Oreegami"/>
    <x v="1"/>
    <s v="2024-11-18-000245"/>
    <x v="66"/>
    <n v="392"/>
    <n v="2352"/>
    <s v="non"/>
    <n v="4"/>
    <n v="490"/>
    <m/>
    <e v="#DIV/0!"/>
    <m/>
    <n v="2024"/>
    <x v="10"/>
  </r>
  <r>
    <d v="2024-11-20T00:00:00"/>
    <s v="Sparks"/>
    <x v="1"/>
    <s v="2024-11-20-000246"/>
    <x v="54"/>
    <n v="0"/>
    <n v="1300"/>
    <s v="non"/>
    <n v="2"/>
    <n v="650"/>
    <m/>
    <e v="#DIV/0!"/>
    <m/>
    <n v="2024"/>
    <x v="10"/>
  </r>
  <r>
    <d v="2024-11-20T00:00:00"/>
    <s v="Simplon"/>
    <x v="0"/>
    <s v="2024-11-20-000247"/>
    <x v="55"/>
    <n v="0"/>
    <n v="2375"/>
    <s v="non"/>
    <n v="5"/>
    <n v="475"/>
    <m/>
    <e v="#DIV/0!"/>
    <m/>
    <n v="2024"/>
    <x v="10"/>
  </r>
  <r>
    <d v="2024-11-28T00:00:00"/>
    <s v="Simplon"/>
    <x v="1"/>
    <s v="2024-11-28-000248"/>
    <x v="67"/>
    <n v="0"/>
    <n v="975"/>
    <s v="non"/>
    <n v="1"/>
    <n v="500"/>
    <m/>
    <e v="#DIV/0!"/>
    <m/>
    <n v="2024"/>
    <x v="10"/>
  </r>
  <r>
    <d v="2024-11-28T00:00:00"/>
    <s v="SEB"/>
    <x v="1"/>
    <s v="2024-11-28-000249"/>
    <x v="68"/>
    <n v="1600"/>
    <n v="9600"/>
    <s v="non"/>
    <n v="10"/>
    <n v="800"/>
    <m/>
    <e v="#DIV/0!"/>
    <m/>
    <n v="2024"/>
    <x v="10"/>
  </r>
  <r>
    <d v="2024-11-28T00:00:00"/>
    <s v="Albert School"/>
    <x v="1"/>
    <s v="2024-11-28-000250"/>
    <x v="14"/>
    <n v="0"/>
    <n v="600"/>
    <s v="oui"/>
    <n v="1"/>
    <n v="600"/>
    <m/>
    <e v="#DIV/0!"/>
    <m/>
    <n v="2024"/>
    <x v="10"/>
  </r>
  <r>
    <d v="2024-11-29T00:00:00"/>
    <s v="Aleysia"/>
    <x v="0"/>
    <s v="2024-11-29-000251"/>
    <x v="7"/>
    <n v="1500"/>
    <n v="9000"/>
    <s v="oui"/>
    <n v="15"/>
    <n v="500"/>
    <n v="12"/>
    <n v="625"/>
    <m/>
    <n v="2024"/>
    <x v="10"/>
  </r>
  <r>
    <d v="2024-12-02T00:00:00"/>
    <s v="GL events"/>
    <x v="0"/>
    <s v="2024-12-02-000252"/>
    <x v="69"/>
    <n v="1060"/>
    <n v="6360"/>
    <s v="non"/>
    <n v="10"/>
    <n v="530"/>
    <m/>
    <e v="#DIV/0!"/>
    <m/>
    <n v="2024"/>
    <x v="11"/>
  </r>
  <r>
    <d v="2024-12-02T00:00:00"/>
    <s v="Elli Up"/>
    <x v="1"/>
    <s v="2024-12-02-000253"/>
    <x v="22"/>
    <n v="0"/>
    <n v="650"/>
    <s v="oui"/>
    <n v="1"/>
    <n v="650"/>
    <m/>
    <e v="#DIV/0!"/>
    <m/>
    <n v="2024"/>
    <x v="11"/>
  </r>
  <r>
    <d v="2024-12-05T00:00:00"/>
    <s v="OpenClassrooms"/>
    <x v="0"/>
    <s v="2024-12-05-000254"/>
    <x v="70"/>
    <n v="45.480000000000004"/>
    <n v="272.88"/>
    <s v="oui"/>
    <n v="1"/>
    <n v="227.4"/>
    <m/>
    <e v="#DIV/0!"/>
    <m/>
    <n v="2024"/>
    <x v="11"/>
  </r>
  <r>
    <d v="2024-12-09T00:00:00"/>
    <s v="Elli Up"/>
    <x v="1"/>
    <s v=" 2024-12-09-000257"/>
    <x v="62"/>
    <n v="0"/>
    <n v="800"/>
    <s v="oui"/>
    <n v="1"/>
    <n v="800"/>
    <m/>
    <e v="#DIV/0!"/>
    <m/>
    <n v="2024"/>
    <x v="11"/>
  </r>
  <r>
    <d v="2024-12-09T00:00:00"/>
    <s v="Elli Up"/>
    <x v="1"/>
    <s v="2024-12-09-000255"/>
    <x v="47"/>
    <n v="0"/>
    <n v="230"/>
    <s v="non"/>
    <n v="1"/>
    <n v="230"/>
    <m/>
    <e v="#DIV/0!"/>
    <m/>
    <n v="2024"/>
    <x v="11"/>
  </r>
  <r>
    <d v="2024-12-09T00:00:00"/>
    <s v="Elli Up"/>
    <x v="1"/>
    <s v="2024-12-09-000256"/>
    <x v="71"/>
    <n v="0"/>
    <n v="420"/>
    <s v="oui"/>
    <n v="1"/>
    <n v="420"/>
    <m/>
    <e v="#DIV/0!"/>
    <m/>
    <n v="2024"/>
    <x v="11"/>
  </r>
  <r>
    <d v="2024-12-11T00:00:00"/>
    <s v="Elli Up"/>
    <x v="1"/>
    <s v=" 2024-12-11-000258"/>
    <x v="72"/>
    <n v="0"/>
    <n v="1045"/>
    <s v="oui"/>
    <n v="1"/>
    <n v="720"/>
    <m/>
    <e v="#DIV/0!"/>
    <m/>
    <n v="2024"/>
    <x v="11"/>
  </r>
  <r>
    <d v="2024-12-11T00:00:00"/>
    <s v="Albert School"/>
    <x v="1"/>
    <s v="2024-12-11-000259"/>
    <x v="73"/>
    <n v="0"/>
    <n v="1200"/>
    <s v="non"/>
    <n v="2"/>
    <n v="600"/>
    <m/>
    <e v="#DIV/0!"/>
    <m/>
    <n v="2024"/>
    <x v="11"/>
  </r>
  <r>
    <d v="2024-12-13T00:00:00"/>
    <s v="Sparks"/>
    <x v="1"/>
    <s v="2024-12-13-000260"/>
    <x v="54"/>
    <n v="0"/>
    <n v="1300"/>
    <s v="non"/>
    <n v="2"/>
    <n v="650"/>
    <m/>
    <e v="#DIV/0!"/>
    <m/>
    <n v="2024"/>
    <x v="11"/>
  </r>
  <r>
    <d v="2024-12-16T00:00:00"/>
    <s v="GL events"/>
    <x v="0"/>
    <s v="2024-12-16-000261"/>
    <x v="69"/>
    <n v="1060"/>
    <n v="6360"/>
    <s v="non"/>
    <n v="10"/>
    <n v="530"/>
    <m/>
    <e v="#DIV/0!"/>
    <m/>
    <n v="2024"/>
    <x v="11"/>
  </r>
  <r>
    <d v="2024-12-18T00:00:00"/>
    <s v="GEMA"/>
    <x v="1"/>
    <s v="2024-12-18-000262"/>
    <x v="74"/>
    <n v="0"/>
    <n v="1260"/>
    <s v="non"/>
    <n v="2"/>
    <n v="630"/>
    <m/>
    <e v="#DIV/0!"/>
    <m/>
    <n v="2024"/>
    <x v="11"/>
  </r>
  <r>
    <d v="2024-12-18T00:00:00"/>
    <s v="GL events"/>
    <x v="0"/>
    <s v="2024-12-18-000263"/>
    <x v="75"/>
    <n v="315"/>
    <n v="1890"/>
    <s v="non"/>
    <n v="3.5"/>
    <n v="450"/>
    <m/>
    <e v="#DIV/0!"/>
    <m/>
    <n v="2024"/>
    <x v="11"/>
  </r>
  <r>
    <d v="2024-12-19T00:00:00"/>
    <s v="Sparks"/>
    <x v="1"/>
    <s v="2024-12-19-000264"/>
    <x v="62"/>
    <n v="0"/>
    <n v="800"/>
    <s v="non"/>
    <n v="1"/>
    <n v="800"/>
    <m/>
    <e v="#DIV/0!"/>
    <m/>
    <n v="2024"/>
    <x v="11"/>
  </r>
  <r>
    <d v="2024-12-20T00:00:00"/>
    <s v="Simplon"/>
    <x v="0"/>
    <s v="2024-12-20-000266"/>
    <x v="27"/>
    <n v="0"/>
    <n v="950"/>
    <s v="non"/>
    <n v="2"/>
    <n v="475"/>
    <m/>
    <e v="#DIV/0!"/>
    <m/>
    <n v="2024"/>
    <x v="11"/>
  </r>
  <r>
    <d v="2024-12-20T00:00:00"/>
    <s v="Simplon"/>
    <x v="1"/>
    <s v="2024-12-20-000265"/>
    <x v="58"/>
    <n v="0"/>
    <n v="1900"/>
    <s v="non"/>
    <n v="4"/>
    <n v="475"/>
    <m/>
    <e v="#DIV/0!"/>
    <m/>
    <n v="2024"/>
    <x v="11"/>
  </r>
  <r>
    <d v="2024-12-24T00:00:00"/>
    <s v="Aleysia"/>
    <x v="0"/>
    <m/>
    <x v="76"/>
    <n v="1200"/>
    <n v="7200"/>
    <s v="prev"/>
    <n v="12"/>
    <n v="500"/>
    <n v="12"/>
    <n v="500"/>
    <m/>
    <n v="2024"/>
    <x v="11"/>
  </r>
  <r>
    <m/>
    <m/>
    <x v="2"/>
    <m/>
    <x v="77"/>
    <m/>
    <m/>
    <m/>
    <m/>
    <m/>
    <m/>
    <e v="#DIV/0!"/>
    <m/>
    <n v="1900"/>
    <x v="0"/>
  </r>
  <r>
    <m/>
    <m/>
    <x v="2"/>
    <m/>
    <x v="77"/>
    <m/>
    <m/>
    <m/>
    <m/>
    <m/>
    <m/>
    <e v="#DIV/0!"/>
    <m/>
    <n v="1900"/>
    <x v="0"/>
  </r>
  <r>
    <m/>
    <m/>
    <x v="2"/>
    <m/>
    <x v="77"/>
    <m/>
    <m/>
    <m/>
    <m/>
    <m/>
    <m/>
    <e v="#DIV/0!"/>
    <m/>
    <n v="1900"/>
    <x v="0"/>
  </r>
  <r>
    <m/>
    <m/>
    <x v="2"/>
    <m/>
    <x v="77"/>
    <m/>
    <m/>
    <m/>
    <m/>
    <m/>
    <m/>
    <e v="#DIV/0!"/>
    <m/>
    <n v="1900"/>
    <x v="0"/>
  </r>
  <r>
    <m/>
    <m/>
    <x v="2"/>
    <m/>
    <x v="77"/>
    <m/>
    <m/>
    <m/>
    <m/>
    <m/>
    <m/>
    <e v="#DIV/0!"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n v="1900"/>
    <x v="0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  <r>
    <m/>
    <m/>
    <x v="2"/>
    <m/>
    <x v="77"/>
    <m/>
    <m/>
    <m/>
    <m/>
    <m/>
    <m/>
    <m/>
    <m/>
    <m/>
    <x v="1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91">
  <r>
    <d v="2024-01-05T00:00:00"/>
    <x v="0"/>
    <s v="Gaetan"/>
    <s v="2024-01-05-000151"/>
    <n v="660"/>
    <n v="132"/>
    <n v="792"/>
    <x v="0"/>
    <n v="1"/>
    <n v="660"/>
  </r>
  <r>
    <d v="2024-01-05T00:00:00"/>
    <x v="0"/>
    <s v="Alison"/>
    <s v="2024-01-06-000152"/>
    <n v="1180"/>
    <n v="236"/>
    <n v="1416"/>
    <x v="0"/>
    <n v="2"/>
    <n v="590"/>
  </r>
  <r>
    <d v="2024-01-23T00:00:00"/>
    <x v="1"/>
    <s v="Gaetan"/>
    <s v="2024-01-23-000157"/>
    <n v="2296"/>
    <n v="0"/>
    <n v="2296"/>
    <x v="0"/>
    <n v="4"/>
    <n v="574"/>
  </r>
  <r>
    <d v="2024-01-23T00:00:00"/>
    <x v="0"/>
    <s v="Alison"/>
    <s v="2024-01-23-000158"/>
    <n v="930"/>
    <n v="186"/>
    <n v="1116"/>
    <x v="0"/>
    <n v="1"/>
    <n v="930"/>
  </r>
  <r>
    <d v="2024-01-30T00:00:00"/>
    <x v="2"/>
    <s v="Alison"/>
    <s v="2024-01-25-000159"/>
    <n v="3380"/>
    <n v="0"/>
    <n v="3380"/>
    <x v="0"/>
    <n v="7"/>
    <n v="450"/>
  </r>
  <r>
    <d v="2024-01-30T00:00:00"/>
    <x v="3"/>
    <s v="Alison"/>
    <s v="2024-01-26-000160"/>
    <n v="9750"/>
    <n v="0"/>
    <n v="9750"/>
    <x v="0"/>
    <n v="15"/>
    <n v="650"/>
  </r>
  <r>
    <d v="2024-01-30T00:00:00"/>
    <x v="4"/>
    <s v="Alison"/>
    <s v="2024-01-30-000161"/>
    <n v="900"/>
    <n v="180"/>
    <n v="1080"/>
    <x v="0"/>
    <n v="1.5"/>
    <n v="600"/>
  </r>
  <r>
    <d v="2024-01-31T00:00:00"/>
    <x v="5"/>
    <s v="Gaetan"/>
    <s v="2024-01-31-000162"/>
    <n v="7500"/>
    <n v="1500"/>
    <n v="9000"/>
    <x v="0"/>
    <n v="15"/>
    <n v="500"/>
  </r>
  <r>
    <d v="2024-02-05T00:00:00"/>
    <x v="0"/>
    <s v="Alison"/>
    <s v="2024-02-05-000163"/>
    <n v="840"/>
    <n v="168"/>
    <n v="1008"/>
    <x v="0"/>
    <n v="1"/>
    <n v="840"/>
  </r>
  <r>
    <d v="2024-02-05T00:00:00"/>
    <x v="0"/>
    <s v="Gaetan"/>
    <s v="2024-02-05-000164"/>
    <n v="790"/>
    <n v="158"/>
    <n v="948"/>
    <x v="0"/>
    <n v="1"/>
    <n v="790"/>
  </r>
  <r>
    <d v="2024-02-23T00:00:00"/>
    <x v="1"/>
    <s v="Gaetan"/>
    <s v="2024-02-23-000165"/>
    <n v="1148"/>
    <n v="0"/>
    <n v="1148"/>
    <x v="0"/>
    <n v="2"/>
    <n v="574"/>
  </r>
  <r>
    <d v="2024-02-26T00:00:00"/>
    <x v="2"/>
    <s v="Alison"/>
    <s v="2024-02-26-000166"/>
    <n v="2000"/>
    <n v="0"/>
    <n v="2000"/>
    <x v="0"/>
    <n v="1"/>
    <n v="2000"/>
  </r>
  <r>
    <d v="2024-02-26T00:00:00"/>
    <x v="3"/>
    <s v="Alison"/>
    <s v="2024-02-26-000167"/>
    <n v="3900"/>
    <n v="0"/>
    <n v="3900"/>
    <x v="0"/>
    <n v="6"/>
    <n v="650"/>
  </r>
  <r>
    <d v="2024-02-26T00:00:00"/>
    <x v="0"/>
    <s v="Alison"/>
    <s v="2024-02-26-000168"/>
    <n v="855"/>
    <n v="171"/>
    <n v="1026"/>
    <x v="0"/>
    <n v="2"/>
    <n v="750"/>
  </r>
  <r>
    <d v="2024-02-28T00:00:00"/>
    <x v="4"/>
    <s v="Alison"/>
    <s v="2024-02-27-000169"/>
    <n v="600"/>
    <n v="120"/>
    <n v="720"/>
    <x v="0"/>
    <n v="1"/>
    <n v="600"/>
  </r>
  <r>
    <d v="2024-02-28T00:00:00"/>
    <x v="2"/>
    <s v="Alison"/>
    <s v="2024-02-28-000170"/>
    <n v="3650"/>
    <n v="0"/>
    <n v="3650"/>
    <x v="0"/>
    <n v="7"/>
    <n v="475"/>
  </r>
  <r>
    <d v="2024-02-29T00:00:00"/>
    <x v="5"/>
    <s v="Gaetan"/>
    <s v="2024-02-29-000171"/>
    <n v="7500"/>
    <n v="1500"/>
    <n v="9000"/>
    <x v="0"/>
    <n v="15"/>
    <n v="500"/>
  </r>
  <r>
    <d v="2024-03-05T00:00:00"/>
    <x v="0"/>
    <s v="Alison"/>
    <s v="2024-03-05-000172"/>
    <n v="880"/>
    <n v="176"/>
    <n v="1056"/>
    <x v="0"/>
    <n v="1"/>
    <n v="880"/>
  </r>
  <r>
    <d v="2024-03-05T00:00:00"/>
    <x v="0"/>
    <s v="Gaetan"/>
    <s v="2024-03-05-000173"/>
    <n v="880"/>
    <n v="176"/>
    <n v="1056"/>
    <x v="0"/>
    <n v="1"/>
    <n v="880"/>
  </r>
  <r>
    <d v="2024-03-08T00:00:00"/>
    <x v="0"/>
    <s v="Alison"/>
    <s v="2024-03-08-000174"/>
    <n v="1000"/>
    <n v="200"/>
    <n v="1200"/>
    <x v="0"/>
    <n v="1"/>
    <n v="1000"/>
  </r>
  <r>
    <d v="2024-03-08T00:00:00"/>
    <x v="2"/>
    <s v="Gaetan"/>
    <s v="2024-03-08-000175"/>
    <n v="475"/>
    <n v="0"/>
    <n v="475"/>
    <x v="0"/>
    <n v="1"/>
    <n v="475"/>
  </r>
  <r>
    <d v="2024-03-13T00:00:00"/>
    <x v="6"/>
    <s v="Alison"/>
    <s v="2024-03-13-000176"/>
    <n v="750"/>
    <n v="0"/>
    <n v="750"/>
    <x v="0"/>
    <n v="1"/>
    <n v="750"/>
  </r>
  <r>
    <d v="2024-03-13T00:00:00"/>
    <x v="4"/>
    <s v="Alison"/>
    <s v="2024-03-13-000177"/>
    <n v="300"/>
    <n v="60"/>
    <n v="360"/>
    <x v="0"/>
    <n v="1"/>
    <n v="600"/>
  </r>
  <r>
    <d v="2024-03-27T00:00:00"/>
    <x v="0"/>
    <s v="Alison"/>
    <s v="2024-03-22-000178"/>
    <n v="1065"/>
    <n v="213"/>
    <n v="1278"/>
    <x v="0"/>
    <n v="1"/>
    <n v="1065"/>
  </r>
  <r>
    <d v="2024-03-29T00:00:00"/>
    <x v="3"/>
    <s v="Alison"/>
    <s v="2024-03-29-000179"/>
    <n v="650"/>
    <n v="0"/>
    <n v="650"/>
    <x v="0"/>
    <n v="1"/>
    <n v="650"/>
  </r>
  <r>
    <d v="2024-03-29T00:00:00"/>
    <x v="5"/>
    <s v="Gaetan"/>
    <s v="2024-03-29-000180"/>
    <n v="7000"/>
    <n v="1400"/>
    <n v="8400"/>
    <x v="0"/>
    <n v="14"/>
    <n v="500"/>
  </r>
  <r>
    <d v="2024-03-30T00:00:00"/>
    <x v="2"/>
    <s v="Alison"/>
    <s v="2024-03-29-000181"/>
    <n v="5542.5"/>
    <n v="0"/>
    <n v="5542.5"/>
    <x v="0"/>
    <n v="8"/>
    <n v="692.8125"/>
  </r>
  <r>
    <d v="2024-04-05T16:00:00"/>
    <x v="0"/>
    <s v="Alison"/>
    <s v="2024-04-06-000190"/>
    <n v="598.4"/>
    <n v="119.68"/>
    <n v="718.0799999999999"/>
    <x v="0"/>
    <n v="1"/>
    <n v="598.4"/>
  </r>
  <r>
    <d v="2024-04-07T00:00:00"/>
    <x v="0"/>
    <s v="Gaetan"/>
    <s v="2024-04-08-000191"/>
    <n v="596"/>
    <n v="119.2"/>
    <n v="715.2"/>
    <x v="0"/>
    <n v="1"/>
    <n v="596"/>
  </r>
  <r>
    <d v="2024-04-19T00:00:00"/>
    <x v="2"/>
    <s v="Gaetan"/>
    <s v="2024-04-19-000192"/>
    <n v="950"/>
    <n v="0"/>
    <n v="950"/>
    <x v="0"/>
    <n v="2"/>
    <n v="475"/>
  </r>
  <r>
    <d v="2024-04-28T00:00:00"/>
    <x v="2"/>
    <s v="Alison"/>
    <s v="2024-04-28-000193"/>
    <n v="3487.5"/>
    <n v="0"/>
    <n v="3487.5"/>
    <x v="0"/>
    <n v="6"/>
    <n v="581.25"/>
  </r>
  <r>
    <d v="2024-04-28T00:00:00"/>
    <x v="0"/>
    <s v="Alison"/>
    <s v="2024-04-28-000194"/>
    <n v="825"/>
    <n v="165"/>
    <n v="990"/>
    <x v="0"/>
    <n v="6"/>
    <n v="137.5"/>
  </r>
  <r>
    <d v="2024-04-30T00:00:00"/>
    <x v="5"/>
    <s v="Gaetan"/>
    <s v="2024-04-30-000195"/>
    <n v="6500"/>
    <n v="1300"/>
    <n v="7800"/>
    <x v="0"/>
    <n v="13"/>
    <n v="500"/>
  </r>
  <r>
    <d v="2024-05-06T00:00:00"/>
    <x v="0"/>
    <s v="Gaetan"/>
    <s v="2024-05-06-000196"/>
    <n v="410.6"/>
    <n v="82.12"/>
    <n v="492.72"/>
    <x v="0"/>
    <n v="1"/>
    <n v="410.6"/>
  </r>
  <r>
    <d v="2024-05-06T00:00:00"/>
    <x v="0"/>
    <s v="Alison"/>
    <s v="2024-05-06-000197"/>
    <n v="200"/>
    <n v="40"/>
    <n v="240"/>
    <x v="0"/>
    <n v="2"/>
    <n v="750"/>
  </r>
  <r>
    <d v="2024-05-25T16:00:00"/>
    <x v="0"/>
    <s v="Alison"/>
    <s v="2024-05-26-000198"/>
    <n v="1080"/>
    <n v="216"/>
    <n v="1296"/>
    <x v="0"/>
    <n v="2"/>
    <n v="750"/>
  </r>
  <r>
    <d v="2024-05-29T00:00:00"/>
    <x v="6"/>
    <s v="Alison"/>
    <s v="2024-05-29-000199"/>
    <n v="1500"/>
    <n v="0"/>
    <n v="1500"/>
    <x v="0"/>
    <n v="2"/>
    <n v="750"/>
  </r>
  <r>
    <d v="2024-05-31T00:00:00"/>
    <x v="5"/>
    <s v="Gaetan"/>
    <s v="2024-05-31-000200"/>
    <n v="7500"/>
    <n v="1500"/>
    <n v="9000"/>
    <x v="0"/>
    <n v="15"/>
    <n v="500"/>
  </r>
  <r>
    <d v="2024-05-31T00:00:00"/>
    <x v="2"/>
    <s v="Alison"/>
    <s v="2024-05-31-000201"/>
    <n v="4612.5"/>
    <n v="0"/>
    <n v="4612.5"/>
    <x v="0"/>
    <n v="7"/>
    <n v="658.9285714285714"/>
  </r>
  <r>
    <d v="2024-06-04T00:00:00"/>
    <x v="2"/>
    <s v="Gaetan"/>
    <s v="2024-06-04-000202"/>
    <n v="950"/>
    <n v="0"/>
    <n v="950"/>
    <x v="0"/>
    <n v="2"/>
    <n v="475"/>
  </r>
  <r>
    <d v="2024-06-05T00:00:00"/>
    <x v="0"/>
    <s v="Alison"/>
    <s v="2024-06-05-000203"/>
    <n v="355"/>
    <n v="71"/>
    <n v="426"/>
    <x v="0"/>
    <n v="2"/>
    <n v="750"/>
  </r>
  <r>
    <d v="2024-06-05T00:00:00"/>
    <x v="0"/>
    <s v="Gaetan"/>
    <s v="2024-06-05-000204"/>
    <n v="650.2"/>
    <n v="130.04000000000002"/>
    <n v="780.24"/>
    <x v="0"/>
    <n v="1"/>
    <n v="650.2"/>
  </r>
  <r>
    <d v="2024-06-25T00:00:00"/>
    <x v="6"/>
    <s v="Alison"/>
    <s v="2024-06-25-000207"/>
    <n v="1600"/>
    <n v="0"/>
    <n v="1600"/>
    <x v="0"/>
    <n v="2"/>
    <n v="800"/>
  </r>
  <r>
    <d v="2024-06-25T00:00:00"/>
    <x v="4"/>
    <s v="Alison"/>
    <s v="2024-06-25-000208"/>
    <n v="300"/>
    <n v="60"/>
    <n v="360"/>
    <x v="0"/>
    <n v="0.5"/>
    <n v="600"/>
  </r>
  <r>
    <d v="2024-06-27T00:00:00"/>
    <x v="5"/>
    <s v="Gaetan"/>
    <s v="2024-06-27-000209"/>
    <n v="7500"/>
    <n v="1500"/>
    <n v="9000"/>
    <x v="0"/>
    <n v="15"/>
    <n v="500"/>
  </r>
  <r>
    <d v="2024-06-30T00:00:00"/>
    <x v="2"/>
    <s v="Alison"/>
    <s v="2024-06-28-000210"/>
    <n v="6550"/>
    <n v="0"/>
    <n v="6550"/>
    <x v="0"/>
    <n v="10"/>
    <n v="475"/>
  </r>
  <r>
    <d v="2024-07-04T00:00:00"/>
    <x v="7"/>
    <s v="Alison"/>
    <s v="2024-07-04-000211"/>
    <n v="2400"/>
    <n v="0"/>
    <n v="2400"/>
    <x v="0"/>
    <n v="2"/>
    <n v="1200"/>
  </r>
  <r>
    <d v="2024-07-05T00:00:00"/>
    <x v="0"/>
    <s v="Alison"/>
    <s v="2024-07-05-000212"/>
    <n v="287.5"/>
    <n v="57.5"/>
    <n v="345"/>
    <x v="0"/>
    <n v="1"/>
    <n v="287.5"/>
  </r>
  <r>
    <d v="2024-07-05T00:00:00"/>
    <x v="0"/>
    <s v="Gaetan"/>
    <s v="2024-07-05-000213"/>
    <n v="584.8"/>
    <n v="116.96"/>
    <n v="701.76"/>
    <x v="0"/>
    <n v="1"/>
    <n v="584.8"/>
  </r>
  <r>
    <d v="2024-07-06T00:00:00"/>
    <x v="8"/>
    <s v="Gaetan"/>
    <s v="2024-07-06-000214"/>
    <n v="500"/>
    <n v="100"/>
    <n v="600"/>
    <x v="0"/>
    <n v="1"/>
    <n v="500"/>
  </r>
  <r>
    <d v="2024-07-12T00:00:00"/>
    <x v="8"/>
    <s v="Gaetan"/>
    <s v="2024-07-12-000215"/>
    <n v="250"/>
    <n v="50"/>
    <n v="300"/>
    <x v="0"/>
    <n v="0.5"/>
    <n v="500"/>
  </r>
  <r>
    <d v="2024-07-22T00:00:00"/>
    <x v="6"/>
    <s v="Alison"/>
    <s v="2024-07-22-000216"/>
    <n v="1600"/>
    <n v="0"/>
    <n v="1600"/>
    <x v="0"/>
    <n v="2"/>
    <n v="800"/>
  </r>
  <r>
    <d v="2024-07-24T00:00:00"/>
    <x v="7"/>
    <s v="Alison"/>
    <s v="2024-07-24-000217"/>
    <n v="1250"/>
    <n v="0"/>
    <n v="1250"/>
    <x v="0"/>
    <n v="3"/>
    <n v="1250"/>
  </r>
  <r>
    <d v="2024-07-24T00:00:00"/>
    <x v="4"/>
    <s v="Alison"/>
    <s v="2024-07-24-000218"/>
    <n v="300"/>
    <n v="60"/>
    <n v="360"/>
    <x v="0"/>
    <n v="0.5"/>
    <n v="600"/>
  </r>
  <r>
    <d v="2024-07-24T00:00:00"/>
    <x v="2"/>
    <s v="Alison"/>
    <s v="2024-07-24-000219"/>
    <n v="6550"/>
    <n v="0"/>
    <n v="6550"/>
    <x v="0"/>
    <n v="10"/>
    <n v="475"/>
  </r>
  <r>
    <d v="2024-07-31T00:00:00"/>
    <x v="5"/>
    <s v="Gaetan"/>
    <s v="2024-07-31-000220"/>
    <n v="9000"/>
    <n v="1800"/>
    <n v="10800"/>
    <x v="0"/>
    <n v="18"/>
    <n v="500"/>
  </r>
  <r>
    <d v="2024-08-20T00:00:00"/>
    <x v="0"/>
    <s v="Alison"/>
    <s v="2024-08-20-000221"/>
    <n v="230"/>
    <n v="46"/>
    <n v="276"/>
    <x v="0"/>
    <n v="2"/>
    <n v="750"/>
  </r>
  <r>
    <d v="2024-08-26T00:00:00"/>
    <x v="0"/>
    <s v="Gaetan"/>
    <s v="2024-08-26-000222"/>
    <n v="307.6"/>
    <n v="61.52000000000001"/>
    <n v="369.12"/>
    <x v="0"/>
    <n v="1"/>
    <n v="307.6"/>
  </r>
  <r>
    <d v="2024-08-27T00:00:00"/>
    <x v="2"/>
    <s v="Alison"/>
    <s v="2024-08-27-000223"/>
    <n v="950"/>
    <n v="0"/>
    <n v="950"/>
    <x v="0"/>
    <n v="2"/>
    <n v="475"/>
  </r>
  <r>
    <d v="2024-08-28T00:00:00"/>
    <x v="7"/>
    <s v="Alison"/>
    <s v="2024-08-28-000224"/>
    <n v="400"/>
    <n v="0"/>
    <n v="400"/>
    <x v="0"/>
    <n v="0.5"/>
    <n v="800"/>
  </r>
  <r>
    <d v="2024-08-28T00:00:00"/>
    <x v="4"/>
    <s v="Alison"/>
    <s v="2024-08-28-000225"/>
    <n v="300"/>
    <n v="60"/>
    <n v="360"/>
    <x v="0"/>
    <n v="0.5"/>
    <n v="600"/>
  </r>
  <r>
    <d v="2024-08-30T00:00:00"/>
    <x v="5"/>
    <s v="Gaetan"/>
    <s v="2024-08-30-000226"/>
    <n v="3000"/>
    <n v="600"/>
    <n v="3600"/>
    <x v="0"/>
    <n v="6"/>
    <n v="500"/>
  </r>
  <r>
    <d v="2024-09-05T00:00:00"/>
    <x v="0"/>
    <s v="Gaetan"/>
    <s v="2024-09-05-000227"/>
    <n v="213.6"/>
    <n v="42.72"/>
    <n v="256.32"/>
    <x v="0"/>
    <n v="1"/>
    <n v="213.6"/>
  </r>
  <r>
    <d v="2024-09-10T00:00:00"/>
    <x v="9"/>
    <s v="Gaetan"/>
    <s v="2024-09-10-000228"/>
    <n v="13283.64"/>
    <n v="2608.36"/>
    <n v="15892"/>
    <x v="0"/>
    <n v="16"/>
    <n v="800"/>
  </r>
  <r>
    <d v="2024-09-13T00:00:00"/>
    <x v="2"/>
    <s v="Alison"/>
    <s v="2024-09-13-000229"/>
    <n v="1400"/>
    <n v="0"/>
    <n v="1400"/>
    <x v="0"/>
    <n v="2"/>
    <n v="700"/>
  </r>
  <r>
    <d v="2024-09-18T00:00:00"/>
    <x v="6"/>
    <s v="Alison"/>
    <s v="2024-09-18-000230"/>
    <n v="1300"/>
    <n v="0"/>
    <n v="1300"/>
    <x v="0"/>
    <n v="2"/>
    <n v="650"/>
  </r>
  <r>
    <d v="2024-09-19T00:00:00"/>
    <x v="2"/>
    <s v="Alison"/>
    <s v="2024-09-19-000231"/>
    <n v="2375"/>
    <n v="0"/>
    <n v="2375"/>
    <x v="0"/>
    <n v="5"/>
    <n v="475"/>
  </r>
  <r>
    <d v="2024-09-30T00:00:00"/>
    <x v="5"/>
    <s v="Gaetan"/>
    <s v="2024-09-30-000232"/>
    <n v="7250"/>
    <n v="1450"/>
    <n v="8700"/>
    <x v="0"/>
    <n v="14.5"/>
    <n v="500"/>
  </r>
  <r>
    <d v="2024-10-01T00:00:00"/>
    <x v="10"/>
    <s v="Alison"/>
    <s v="2024-10-01-000233"/>
    <n v="2850"/>
    <n v="0"/>
    <n v="2850"/>
    <x v="0"/>
    <n v="3"/>
    <n v="950"/>
  </r>
  <r>
    <d v="2024-10-01T00:00:00"/>
    <x v="11"/>
    <s v="Alison"/>
    <s v="2024-10-01-000234"/>
    <n v="1900"/>
    <n v="0"/>
    <n v="1900"/>
    <x v="0"/>
    <n v="2"/>
    <n v="950"/>
  </r>
  <r>
    <d v="2024-10-07T00:00:00"/>
    <x v="0"/>
    <s v="Gaetan"/>
    <s v="2024-10-07-000235"/>
    <n v="193.4"/>
    <n v="38.68000000000001"/>
    <n v="232.08"/>
    <x v="0"/>
    <n v="1"/>
    <n v="193.4"/>
  </r>
  <r>
    <d v="2024-10-10T00:00:00"/>
    <x v="2"/>
    <s v="Alison"/>
    <s v="2024-10-10-000238"/>
    <n v="1425"/>
    <n v="0"/>
    <n v="1425"/>
    <x v="0"/>
    <n v="3"/>
    <n v="475"/>
  </r>
  <r>
    <d v="2024-10-10T00:00:00"/>
    <x v="9"/>
    <s v="Gaetan"/>
    <s v="RECTIF AVOIR"/>
    <n v="-40.31"/>
    <n v="0"/>
    <n v="0"/>
    <x v="0"/>
    <n v="0"/>
    <n v="0"/>
  </r>
  <r>
    <d v="2024-10-21T00:00:00"/>
    <x v="7"/>
    <s v="Alison"/>
    <s v="2024-10-21-000239"/>
    <n v="800"/>
    <n v="0"/>
    <n v="800"/>
    <x v="0"/>
    <n v="1"/>
    <n v="800"/>
  </r>
  <r>
    <d v="2024-10-24T00:00:00"/>
    <x v="5"/>
    <s v="Gaetan"/>
    <s v="2024-10-24-000240"/>
    <n v="7000"/>
    <n v="1400"/>
    <n v="8400"/>
    <x v="0"/>
    <n v="14"/>
    <n v="500"/>
  </r>
  <r>
    <d v="2024-10-24T00:00:00"/>
    <x v="2"/>
    <s v="Gaetan"/>
    <s v="2024-10-24-000241"/>
    <n v="1425"/>
    <n v="0"/>
    <n v="1425"/>
    <x v="0"/>
    <n v="3"/>
    <n v="475"/>
  </r>
  <r>
    <d v="2024-10-30T00:00:00"/>
    <x v="12"/>
    <s v="Alison"/>
    <s v="2024-10-30-000242"/>
    <n v="2520"/>
    <n v="0"/>
    <n v="2520"/>
    <x v="0"/>
    <n v="4"/>
    <n v="630"/>
  </r>
  <r>
    <d v="2024-11-05T00:00:00"/>
    <x v="0"/>
    <s v="Gaetan"/>
    <s v="2024-11-05-000243"/>
    <n v="294.7"/>
    <n v="58.94"/>
    <n v="353.64"/>
    <x v="0"/>
    <n v="1"/>
    <n v="294.7"/>
  </r>
  <r>
    <d v="2024-11-07T00:00:00"/>
    <x v="6"/>
    <s v="Alison"/>
    <s v="2024-11-07-000244"/>
    <n v="2250"/>
    <n v="0"/>
    <n v="2250"/>
    <x v="0"/>
    <n v="3"/>
    <n v="750"/>
  </r>
  <r>
    <d v="2024-11-18T00:00:00"/>
    <x v="13"/>
    <s v="Alison"/>
    <s v="2024-11-18-000245"/>
    <n v="1960"/>
    <n v="392"/>
    <n v="2352"/>
    <x v="0"/>
    <n v="4"/>
    <n v="490"/>
  </r>
  <r>
    <d v="2024-11-20T00:00:00"/>
    <x v="6"/>
    <s v="Alison"/>
    <s v="2024-11-20-000246"/>
    <n v="1300"/>
    <n v="0"/>
    <n v="1300"/>
    <x v="1"/>
    <n v="2"/>
    <n v="650"/>
  </r>
  <r>
    <d v="2024-11-20T00:00:00"/>
    <x v="2"/>
    <s v="Gaetan"/>
    <s v="2024-11-20-000247"/>
    <n v="2375"/>
    <n v="0"/>
    <n v="2375"/>
    <x v="1"/>
    <n v="5"/>
    <n v="475"/>
  </r>
  <r>
    <d v="2024-11-28T00:00:00"/>
    <x v="2"/>
    <s v="Alison"/>
    <s v="2024-11-28-000248"/>
    <n v="975"/>
    <n v="0"/>
    <n v="975"/>
    <x v="1"/>
    <n v="1"/>
    <n v="500"/>
  </r>
  <r>
    <d v="2024-11-28T00:00:00"/>
    <x v="14"/>
    <s v="Alison"/>
    <s v="2024-11-28-000249"/>
    <n v="8000"/>
    <n v="1600"/>
    <n v="9600"/>
    <x v="1"/>
    <n v="10"/>
    <n v="800"/>
  </r>
  <r>
    <d v="2024-11-28T00:00:00"/>
    <x v="15"/>
    <s v="Alison"/>
    <s v="2024-11-28-000250"/>
    <n v="600"/>
    <n v="0"/>
    <n v="600"/>
    <x v="0"/>
    <n v="1"/>
    <n v="600"/>
  </r>
  <r>
    <d v="2024-11-29T00:00:00"/>
    <x v="5"/>
    <s v="Gaetan"/>
    <s v="2024-11-29-000251"/>
    <n v="7500"/>
    <n v="1500"/>
    <n v="9000"/>
    <x v="0"/>
    <n v="15"/>
    <n v="500"/>
  </r>
  <r>
    <d v="2024-12-02T00:00:00"/>
    <x v="16"/>
    <s v="Gaetan"/>
    <s v="2024-12-02-000252"/>
    <n v="5300"/>
    <n v="1060"/>
    <n v="6360"/>
    <x v="1"/>
    <n v="10"/>
    <n v="530"/>
  </r>
  <r>
    <d v="2024-12-02T00:00:00"/>
    <x v="7"/>
    <s v="Alison"/>
    <s v="2024-12-02-000253"/>
    <n v="650"/>
    <n v="0"/>
    <n v="650"/>
    <x v="0"/>
    <n v="1"/>
    <n v="650"/>
  </r>
  <r>
    <d v="2024-12-05T00:00:00"/>
    <x v="0"/>
    <s v="Gaetan"/>
    <s v="2024-12-05-000254"/>
    <n v="227.4"/>
    <n v="45.480000000000004"/>
    <n v="272.88"/>
    <x v="0"/>
    <n v="1"/>
    <n v="227.4"/>
  </r>
  <r>
    <d v="2024-12-09T00:00:00"/>
    <x v="7"/>
    <s v="Alison"/>
    <s v=" 2024-12-09-000257"/>
    <n v="800"/>
    <n v="0"/>
    <n v="800"/>
    <x v="0"/>
    <n v="1"/>
    <n v="800"/>
  </r>
  <r>
    <d v="2024-12-09T00:00:00"/>
    <x v="7"/>
    <s v="Alison"/>
    <s v="2024-12-09-000255"/>
    <n v="230"/>
    <n v="0"/>
    <n v="230"/>
    <x v="1"/>
    <n v="1"/>
    <n v="230"/>
  </r>
  <r>
    <d v="2024-12-09T00:00:00"/>
    <x v="7"/>
    <s v="Alison"/>
    <s v="2024-12-09-000256"/>
    <n v="420"/>
    <n v="0"/>
    <n v="420"/>
    <x v="0"/>
    <n v="1"/>
    <n v="420"/>
  </r>
  <r>
    <d v="2024-12-11T00:00:00"/>
    <x v="7"/>
    <s v="Alison"/>
    <s v=" 2024-12-11-000258"/>
    <n v="1045"/>
    <n v="0"/>
    <n v="1045"/>
    <x v="0"/>
    <n v="1"/>
    <n v="720"/>
  </r>
  <r>
    <d v="2024-12-11T00:00:00"/>
    <x v="15"/>
    <s v="Alison"/>
    <s v="2024-12-11-000259"/>
    <n v="1200"/>
    <n v="0"/>
    <n v="1200"/>
    <x v="1"/>
    <n v="2"/>
    <n v="600"/>
  </r>
  <r>
    <d v="2024-12-13T00:00:00"/>
    <x v="6"/>
    <s v="Alison"/>
    <s v="2024-12-13-000260"/>
    <n v="1300"/>
    <n v="0"/>
    <n v="1300"/>
    <x v="1"/>
    <n v="2"/>
    <n v="650"/>
  </r>
  <r>
    <d v="2024-12-16T00:00:00"/>
    <x v="16"/>
    <s v="Gaetan"/>
    <s v="2024-12-16-000261"/>
    <n v="5300"/>
    <n v="1060"/>
    <n v="6360"/>
    <x v="1"/>
    <n v="10"/>
    <n v="530"/>
  </r>
  <r>
    <d v="2024-12-18T00:00:00"/>
    <x v="12"/>
    <s v="Alison"/>
    <s v="2024-12-18-000262"/>
    <n v="1260"/>
    <n v="0"/>
    <n v="1260"/>
    <x v="1"/>
    <n v="2"/>
    <n v="630"/>
  </r>
  <r>
    <d v="2024-12-18T00:00:00"/>
    <x v="16"/>
    <s v="Gaetan"/>
    <s v="2024-12-18-000263"/>
    <n v="1575"/>
    <n v="315"/>
    <n v="1890"/>
    <x v="1"/>
    <n v="3.5"/>
    <n v="450"/>
  </r>
  <r>
    <d v="2024-12-19T00:00:00"/>
    <x v="6"/>
    <s v="Alison"/>
    <s v="2024-12-19-000264"/>
    <n v="800"/>
    <n v="0"/>
    <n v="800"/>
    <x v="1"/>
    <n v="1"/>
    <n v="800"/>
  </r>
  <r>
    <d v="2024-12-20T00:00:00"/>
    <x v="2"/>
    <s v="Gaetan"/>
    <s v="2024-12-20-000266"/>
    <n v="950"/>
    <n v="0"/>
    <n v="950"/>
    <x v="1"/>
    <n v="2"/>
    <n v="475"/>
  </r>
  <r>
    <d v="2024-12-20T00:00:00"/>
    <x v="2"/>
    <s v="Alison"/>
    <s v="2024-12-20-000265"/>
    <n v="1900"/>
    <n v="0"/>
    <n v="1900"/>
    <x v="1"/>
    <n v="4"/>
    <n v="475"/>
  </r>
  <r>
    <d v="2024-12-24T00:00:00"/>
    <x v="5"/>
    <s v="Gaetan"/>
    <s v="2024-12-24-000267"/>
    <n v="6000"/>
    <n v="1200"/>
    <n v="7200"/>
    <x v="1"/>
    <n v="12"/>
    <n v="500"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  <r>
    <m/>
    <x v="17"/>
    <m/>
    <m/>
    <m/>
    <m/>
    <m/>
    <x v="2"/>
    <m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chartFormat="1">
  <location ref="R4:V23" firstHeaderRow="1" firstDataRow="2" firstDataCol="1"/>
  <pivotFields count="10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2"/>
        <item h="1" x="3"/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9"/>
    <field x="8"/>
    <field x="0"/>
  </rowFields>
  <rowItems count="18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7"/>
  </colFields>
  <colItems count="4">
    <i>
      <x/>
    </i>
    <i>
      <x v="2"/>
    </i>
    <i>
      <x v="3"/>
    </i>
    <i t="grand">
      <x/>
    </i>
  </colItems>
  <dataFields count="1">
    <dataField name="Somme de Montant HT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4" indent="0" outline="1" outlineData="1" multipleFieldFilters="0">
  <location ref="I12:N17" firstHeaderRow="1" firstDataRow="2" firstDataCol="1"/>
  <pivotFields count="10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omme de Montant HT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Tableau croisé dynamique4" cacheId="2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I46:M61" firstHeaderRow="1" firstDataRow="2" firstDataCol="1"/>
  <pivotFields count="15"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dataField="1" showAll="0">
      <items count="79">
        <item x="32"/>
        <item x="47"/>
        <item x="44"/>
        <item x="41"/>
        <item x="20"/>
        <item x="48"/>
        <item x="36"/>
        <item x="49"/>
        <item x="31"/>
        <item x="18"/>
        <item x="43"/>
        <item x="42"/>
        <item x="26"/>
        <item x="25"/>
        <item x="14"/>
        <item x="22"/>
        <item x="37"/>
        <item x="0"/>
        <item x="19"/>
        <item x="9"/>
        <item x="29"/>
        <item x="8"/>
        <item x="13"/>
        <item x="16"/>
        <item x="6"/>
        <item x="3"/>
        <item x="27"/>
        <item x="17"/>
        <item x="21"/>
        <item x="33"/>
        <item x="10"/>
        <item x="1"/>
        <item x="73"/>
        <item x="45"/>
        <item x="74"/>
        <item x="54"/>
        <item x="60"/>
        <item x="34"/>
        <item x="38"/>
        <item x="58"/>
        <item x="11"/>
        <item x="65"/>
        <item x="2"/>
        <item x="55"/>
        <item x="40"/>
        <item x="63"/>
        <item x="50"/>
        <item x="4"/>
        <item x="28"/>
        <item x="15"/>
        <item x="12"/>
        <item x="35"/>
        <item x="24"/>
        <item x="30"/>
        <item x="39"/>
        <item x="23"/>
        <item x="7"/>
        <item x="46"/>
        <item x="5"/>
        <item x="77"/>
        <item x="51"/>
        <item x="52"/>
        <item x="57"/>
        <item x="53"/>
        <item x="56"/>
        <item x="59"/>
        <item x="62"/>
        <item x="68"/>
        <item x="66"/>
        <item x="61"/>
        <item x="64"/>
        <item x="67"/>
        <item x="70"/>
        <item x="71"/>
        <item x="69"/>
        <item x="72"/>
        <item x="75"/>
        <item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me de Montant HT" fld="4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xmlns:r="http://schemas.openxmlformats.org/officeDocument/2006/relationships" name="PivotTable2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4" indent="0" outline="1" outlineData="1" multipleFieldFilters="0">
  <location ref="I20:M40" firstHeaderRow="1" firstDataRow="2" firstDataCol="1"/>
  <pivotFields count="10">
    <pivotField showAll="0"/>
    <pivotField axis="axisRow" showAll="0" sortType="descending">
      <items count="19">
        <item x="17"/>
        <item x="4"/>
        <item x="9"/>
        <item x="6"/>
        <item x="2"/>
        <item x="0"/>
        <item x="3"/>
        <item x="1"/>
        <item x="5"/>
        <item x="16"/>
        <item x="7"/>
        <item x="8"/>
        <item x="15"/>
        <item x="10"/>
        <item x="12"/>
        <item x="11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"/>
  </rowFields>
  <rowItems count="19">
    <i>
      <x v="8"/>
    </i>
    <i>
      <x v="4"/>
    </i>
    <i>
      <x v="5"/>
    </i>
    <i>
      <x v="6"/>
    </i>
    <i>
      <x v="2"/>
    </i>
    <i>
      <x v="3"/>
    </i>
    <i>
      <x v="9"/>
    </i>
    <i>
      <x v="16"/>
    </i>
    <i>
      <x v="10"/>
    </i>
    <i>
      <x v="14"/>
    </i>
    <i>
      <x v="7"/>
    </i>
    <i>
      <x v="13"/>
    </i>
    <i>
      <x v="1"/>
    </i>
    <i>
      <x v="17"/>
    </i>
    <i>
      <x v="15"/>
    </i>
    <i>
      <x v="12"/>
    </i>
    <i>
      <x v="11"/>
    </i>
    <i>
      <x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omme de Montant HT" fld="4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xmlns:r="http://schemas.openxmlformats.org/officeDocument/2006/relationships" name="Tableau croisé dynamique3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Associé">
  <location ref="A23:B28" firstHeaderRow="1" firstDataRow="1" firstDataCol="1"/>
  <pivotFields count="7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A" fld="4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xmlns:r="http://schemas.openxmlformats.org/officeDocument/2006/relationships" name="Tableau croisé dynamique1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Client">
  <location ref="D12:E27" firstHeaderRow="1" firstDataRow="1" firstDataCol="1"/>
  <pivotFields count="7">
    <pivotField showAll="0"/>
    <pivotField axis="axisRow" showAll="0" sortType="ascending">
      <items count="15">
        <item x="2"/>
        <item x="3"/>
        <item x="1"/>
        <item x="4"/>
        <item x="0"/>
        <item x="5"/>
        <item x="6"/>
        <item x="13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"/>
  </rowFields>
  <rowItems count="15">
    <i>
      <x v="7"/>
    </i>
    <i>
      <x v="11"/>
    </i>
    <i>
      <x v="5"/>
    </i>
    <i>
      <x v="13"/>
    </i>
    <i>
      <x v="12"/>
    </i>
    <i>
      <x v="9"/>
    </i>
    <i>
      <x v="3"/>
    </i>
    <i>
      <x v="2"/>
    </i>
    <i>
      <x v="8"/>
    </i>
    <i>
      <x v="6"/>
    </i>
    <i>
      <x v="10"/>
    </i>
    <i>
      <x v="1"/>
    </i>
    <i>
      <x/>
    </i>
    <i>
      <x v="4"/>
    </i>
    <i t="grand">
      <x/>
    </i>
  </rowItems>
  <colItems count="1">
    <i/>
  </colItems>
  <dataFields count="1">
    <dataField name="CA" fld="4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xmlns:r="http://schemas.openxmlformats.org/officeDocument/2006/relationships" name="Tableau croisé dynamique2" cacheId="6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N2:P26" firstHeaderRow="1" firstDataRow="2" firstDataCol="1"/>
  <pivotFields count="10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0"/>
        <item h="1"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9"/>
    <field x="8"/>
    <field x="0"/>
  </rowFields>
  <rowItems count="23">
    <i>
      <x v="1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7"/>
  </colFields>
  <colItems count="2">
    <i>
      <x/>
    </i>
    <i t="grand">
      <x/>
    </i>
  </colItems>
  <dataFields count="1">
    <dataField name="Somme de Montant HT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A3:J35">
  <autoFilter ref="A3:J35"/>
  <sortState ref="A4:J35">
    <sortCondition ref="E3:E35"/>
  </sortState>
  <tableColumns count="10">
    <tableColumn id="1" name="Date" dataDxfId="0"/>
    <tableColumn id="2" name="Client"/>
    <tableColumn id="3" name="Salarié.e"/>
    <tableColumn id="4" name="Numéro Facture"/>
    <tableColumn id="5" name="Montant HT"/>
    <tableColumn id="6" name="TVA"/>
    <tableColumn id="7" name="Montant TTC"/>
    <tableColumn id="8" name="Payée"/>
    <tableColumn id="9" name="Jours facturés"/>
    <tableColumn id="10" name="TJf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Relationship  Id="rId3" Type="http://schemas.openxmlformats.org/officeDocument/2006/relationships/pivotTable" Target="../pivotTables/pivotTable2.xml"/><Relationship  Id="rId4" Type="http://schemas.openxmlformats.org/officeDocument/2006/relationships/pivotTable" Target="../pivotTables/pivotTable3.xml"/><Relationship  Id="rId5" Type="http://schemas.openxmlformats.org/officeDocument/2006/relationships/pivotTable" Target="../pivotTables/pivot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Relationship  Id="rId2" Type="http://schemas.openxmlformats.org/officeDocument/2006/relationships/pivotTable" Target="../pivotTables/pivotTable5.xml"/><Relationship  Id="rId3" Type="http://schemas.openxmlformats.org/officeDocument/2006/relationships/pivotTable" Target="../pivotTables/pivotTable6.xml"/><Relationship  Id="rId4" Type="http://schemas.openxmlformats.org/officeDocument/2006/relationships/pivotTable" Target="../pivotTables/pivotTable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00" workbookViewId="0">
      <selection activeCell="D30" activeCellId="0" sqref="D30"/>
    </sheetView>
  </sheetViews>
  <sheetFormatPr baseColWidth="10" defaultRowHeight="14.25"/>
  <cols>
    <col customWidth="1" min="1" max="1" style="1" width="13.42578125"/>
    <col customWidth="1" min="2" max="3" style="1" width="16.28515625"/>
    <col bestFit="1" customWidth="1" min="4" max="4" style="2" width="19.421875"/>
    <col customWidth="1" min="5" max="6" style="3" width="16.42578125"/>
    <col customWidth="1" min="7" max="7" style="3" width="19.42578125"/>
    <col min="8" max="8" style="4" width="11.42578125"/>
    <col bestFit="1" min="9" max="9" width="15.140625"/>
    <col customWidth="1" min="10" max="10" style="5" width="13.140625"/>
    <col customWidth="1" min="11" max="11" style="6" width="15.140625"/>
    <col min="12" max="12" style="5" width="11.42578125"/>
  </cols>
  <sheetData>
    <row r="1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1" t="s">
        <v>8</v>
      </c>
      <c r="J1" s="12" t="s">
        <v>9</v>
      </c>
      <c r="K1" s="11"/>
      <c r="L1" s="12"/>
      <c r="N1" s="13" t="s">
        <v>10</v>
      </c>
      <c r="O1" s="13" t="s">
        <v>11</v>
      </c>
    </row>
    <row r="2">
      <c r="A2" s="14">
        <v>45666</v>
      </c>
      <c r="B2" s="15" t="s">
        <v>12</v>
      </c>
      <c r="C2" s="15" t="s">
        <v>13</v>
      </c>
      <c r="D2" s="2" t="s">
        <v>14</v>
      </c>
      <c r="E2" s="3">
        <f t="shared" ref="E2:E9" si="0">I2*J2</f>
        <v>167.19999999999999</v>
      </c>
      <c r="F2" s="3">
        <f>0.2*E2</f>
        <v>33.439999999999998</v>
      </c>
      <c r="G2" s="3">
        <f t="shared" ref="G2:G9" si="1">E2+F2</f>
        <v>200.63999999999999</v>
      </c>
      <c r="H2" s="4" t="s">
        <v>15</v>
      </c>
      <c r="I2">
        <v>1</v>
      </c>
      <c r="J2" s="16">
        <v>167.19999999999999</v>
      </c>
      <c r="K2" s="6"/>
      <c r="L2" s="5"/>
      <c r="N2">
        <f t="shared" ref="N2:N9" si="2">YEAR(A2)</f>
        <v>2025</v>
      </c>
      <c r="O2">
        <f t="shared" ref="O2:O9" si="3">MONTH(A2)</f>
        <v>1</v>
      </c>
    </row>
    <row r="3">
      <c r="A3" s="17">
        <v>45667</v>
      </c>
      <c r="B3" s="15" t="s">
        <v>16</v>
      </c>
      <c r="C3" s="15" t="s">
        <v>17</v>
      </c>
      <c r="D3" s="2" t="s">
        <v>18</v>
      </c>
      <c r="E3" s="3">
        <f t="shared" si="0"/>
        <v>150</v>
      </c>
      <c r="F3" s="3">
        <v>0</v>
      </c>
      <c r="G3" s="3">
        <f t="shared" si="1"/>
        <v>150</v>
      </c>
      <c r="H3" s="4" t="s">
        <v>15</v>
      </c>
      <c r="I3" s="18">
        <v>0.5</v>
      </c>
      <c r="J3" s="5">
        <v>300</v>
      </c>
      <c r="L3" s="5"/>
      <c r="N3">
        <f t="shared" si="2"/>
        <v>2025</v>
      </c>
      <c r="O3">
        <f t="shared" si="3"/>
        <v>1</v>
      </c>
    </row>
    <row r="4">
      <c r="A4" s="17">
        <v>45671</v>
      </c>
      <c r="B4" s="15" t="s">
        <v>19</v>
      </c>
      <c r="C4" s="15" t="s">
        <v>17</v>
      </c>
      <c r="D4" s="19" t="s">
        <v>20</v>
      </c>
      <c r="E4" s="3">
        <f t="shared" si="0"/>
        <v>950</v>
      </c>
      <c r="F4" s="3">
        <v>0</v>
      </c>
      <c r="G4" s="3">
        <f t="shared" si="1"/>
        <v>950</v>
      </c>
      <c r="H4" s="4" t="s">
        <v>15</v>
      </c>
      <c r="I4" s="18">
        <v>2</v>
      </c>
      <c r="J4" s="5">
        <v>475</v>
      </c>
      <c r="K4" s="6"/>
      <c r="L4" s="5"/>
      <c r="N4">
        <f t="shared" si="2"/>
        <v>2025</v>
      </c>
      <c r="O4">
        <f t="shared" si="3"/>
        <v>1</v>
      </c>
    </row>
    <row r="5">
      <c r="A5" s="17">
        <v>45672</v>
      </c>
      <c r="B5" s="15" t="s">
        <v>19</v>
      </c>
      <c r="C5" s="15" t="s">
        <v>13</v>
      </c>
      <c r="D5" s="2" t="s">
        <v>21</v>
      </c>
      <c r="E5" s="3">
        <f t="shared" si="0"/>
        <v>950</v>
      </c>
      <c r="F5" s="3">
        <v>0</v>
      </c>
      <c r="G5" s="3">
        <f t="shared" si="1"/>
        <v>950</v>
      </c>
      <c r="H5" s="4" t="s">
        <v>15</v>
      </c>
      <c r="I5" s="18">
        <v>2</v>
      </c>
      <c r="J5" s="5">
        <v>475</v>
      </c>
      <c r="K5" s="6"/>
      <c r="L5" s="5"/>
      <c r="N5">
        <f t="shared" si="2"/>
        <v>2025</v>
      </c>
      <c r="O5">
        <f t="shared" si="3"/>
        <v>1</v>
      </c>
    </row>
    <row r="6">
      <c r="A6" s="20">
        <v>45678</v>
      </c>
      <c r="B6" s="15" t="s">
        <v>22</v>
      </c>
      <c r="C6" s="15" t="s">
        <v>17</v>
      </c>
      <c r="D6" s="2" t="s">
        <v>23</v>
      </c>
      <c r="E6" s="3">
        <f t="shared" si="0"/>
        <v>650</v>
      </c>
      <c r="F6" s="3">
        <v>0</v>
      </c>
      <c r="G6" s="3">
        <f t="shared" si="1"/>
        <v>650</v>
      </c>
      <c r="H6" s="4" t="s">
        <v>15</v>
      </c>
      <c r="I6">
        <v>1</v>
      </c>
      <c r="J6" s="16">
        <v>650</v>
      </c>
      <c r="K6" s="6"/>
      <c r="L6" s="5"/>
      <c r="N6">
        <f t="shared" si="2"/>
        <v>2025</v>
      </c>
      <c r="O6">
        <f t="shared" si="3"/>
        <v>1</v>
      </c>
    </row>
    <row r="7">
      <c r="A7" s="17">
        <v>45681</v>
      </c>
      <c r="B7" s="15" t="s">
        <v>22</v>
      </c>
      <c r="C7" s="15" t="s">
        <v>17</v>
      </c>
      <c r="D7" s="2" t="s">
        <v>24</v>
      </c>
      <c r="E7" s="3">
        <f t="shared" si="0"/>
        <v>1300</v>
      </c>
      <c r="F7" s="3">
        <v>0</v>
      </c>
      <c r="G7" s="3">
        <f t="shared" si="1"/>
        <v>1300</v>
      </c>
      <c r="H7" s="4" t="s">
        <v>15</v>
      </c>
      <c r="I7" s="18">
        <v>2</v>
      </c>
      <c r="J7" s="5">
        <v>650</v>
      </c>
      <c r="K7" s="6"/>
      <c r="L7" s="5"/>
      <c r="N7">
        <f t="shared" si="2"/>
        <v>2025</v>
      </c>
      <c r="O7">
        <f t="shared" si="3"/>
        <v>1</v>
      </c>
    </row>
    <row r="8">
      <c r="A8" s="17">
        <v>45681</v>
      </c>
      <c r="B8" s="15" t="s">
        <v>22</v>
      </c>
      <c r="C8" s="15" t="s">
        <v>17</v>
      </c>
      <c r="D8" s="2" t="s">
        <v>25</v>
      </c>
      <c r="E8" s="3">
        <f t="shared" si="0"/>
        <v>150</v>
      </c>
      <c r="F8" s="3">
        <v>0</v>
      </c>
      <c r="G8" s="3">
        <f t="shared" si="1"/>
        <v>150</v>
      </c>
      <c r="H8" s="4" t="s">
        <v>15</v>
      </c>
      <c r="I8" s="18">
        <v>0.5</v>
      </c>
      <c r="J8" s="16">
        <v>300</v>
      </c>
      <c r="K8" s="6"/>
      <c r="L8" s="5"/>
      <c r="N8">
        <f t="shared" si="2"/>
        <v>2025</v>
      </c>
      <c r="O8">
        <f t="shared" si="3"/>
        <v>1</v>
      </c>
    </row>
    <row r="9">
      <c r="A9" s="17">
        <v>45688</v>
      </c>
      <c r="B9" s="1" t="s">
        <v>26</v>
      </c>
      <c r="C9" s="15" t="s">
        <v>13</v>
      </c>
      <c r="D9" s="2" t="s">
        <v>27</v>
      </c>
      <c r="E9" s="3">
        <f t="shared" si="0"/>
        <v>8250</v>
      </c>
      <c r="F9" s="3">
        <f>0.2*E9</f>
        <v>1650</v>
      </c>
      <c r="G9" s="3">
        <f t="shared" si="1"/>
        <v>9900</v>
      </c>
      <c r="H9" s="4" t="s">
        <v>15</v>
      </c>
      <c r="I9" s="18">
        <v>16.5</v>
      </c>
      <c r="J9" s="16">
        <v>500</v>
      </c>
      <c r="K9" s="6"/>
      <c r="L9" s="5"/>
      <c r="N9">
        <f t="shared" si="2"/>
        <v>2025</v>
      </c>
      <c r="O9">
        <f t="shared" si="3"/>
        <v>1</v>
      </c>
    </row>
    <row r="10">
      <c r="A10" s="20">
        <v>45693</v>
      </c>
      <c r="B10" s="15" t="s">
        <v>12</v>
      </c>
      <c r="C10" s="15" t="s">
        <v>13</v>
      </c>
      <c r="D10" s="19" t="s">
        <v>28</v>
      </c>
      <c r="E10" s="3">
        <f t="shared" ref="E10:E13" si="4">I10*J10</f>
        <v>175</v>
      </c>
      <c r="F10" s="3">
        <f>0.2*E10</f>
        <v>35</v>
      </c>
      <c r="G10" s="3">
        <f t="shared" ref="G10:G13" si="5">E10+F10</f>
        <v>210</v>
      </c>
      <c r="H10" s="4" t="s">
        <v>15</v>
      </c>
      <c r="I10">
        <v>1</v>
      </c>
      <c r="J10" s="16">
        <v>175</v>
      </c>
      <c r="K10" s="6"/>
      <c r="L10" s="5"/>
      <c r="N10">
        <f t="shared" ref="N10:N73" si="6">YEAR(A10)</f>
        <v>2025</v>
      </c>
      <c r="O10">
        <f t="shared" ref="O10:O73" si="7">MONTH(A10)</f>
        <v>2</v>
      </c>
    </row>
    <row r="11">
      <c r="A11" s="20">
        <v>45698</v>
      </c>
      <c r="B11" s="15" t="s">
        <v>22</v>
      </c>
      <c r="C11" s="15" t="s">
        <v>17</v>
      </c>
      <c r="D11" s="2" t="s">
        <v>29</v>
      </c>
      <c r="E11" s="3">
        <f t="shared" si="4"/>
        <v>150</v>
      </c>
      <c r="F11" s="3">
        <v>0</v>
      </c>
      <c r="G11" s="3">
        <f t="shared" si="5"/>
        <v>150</v>
      </c>
      <c r="H11" s="4" t="s">
        <v>30</v>
      </c>
      <c r="I11">
        <v>0.5</v>
      </c>
      <c r="J11" s="16">
        <v>300</v>
      </c>
      <c r="K11" s="6"/>
      <c r="L11" s="5"/>
      <c r="N11">
        <f t="shared" si="6"/>
        <v>2025</v>
      </c>
      <c r="O11">
        <f t="shared" si="7"/>
        <v>2</v>
      </c>
    </row>
    <row r="12">
      <c r="A12" s="17">
        <v>45702</v>
      </c>
      <c r="B12" s="15" t="s">
        <v>19</v>
      </c>
      <c r="C12" s="15" t="s">
        <v>13</v>
      </c>
      <c r="D12" s="2" t="s">
        <v>31</v>
      </c>
      <c r="E12" s="3">
        <f t="shared" si="4"/>
        <v>475</v>
      </c>
      <c r="F12" s="3">
        <v>0</v>
      </c>
      <c r="G12" s="3">
        <f t="shared" si="5"/>
        <v>475</v>
      </c>
      <c r="H12" s="4" t="s">
        <v>30</v>
      </c>
      <c r="I12" s="18">
        <v>1</v>
      </c>
      <c r="J12" s="5">
        <v>475</v>
      </c>
      <c r="K12" s="6"/>
      <c r="L12" s="5"/>
      <c r="N12">
        <f t="shared" si="6"/>
        <v>2025</v>
      </c>
      <c r="O12">
        <f t="shared" si="7"/>
        <v>2</v>
      </c>
    </row>
    <row r="13">
      <c r="A13" s="17">
        <v>45705</v>
      </c>
      <c r="B13" s="15" t="s">
        <v>19</v>
      </c>
      <c r="C13" s="15" t="s">
        <v>17</v>
      </c>
      <c r="D13" s="19" t="s">
        <v>32</v>
      </c>
      <c r="E13" s="3">
        <f t="shared" si="4"/>
        <v>950</v>
      </c>
      <c r="F13" s="3">
        <v>0</v>
      </c>
      <c r="G13" s="3">
        <f t="shared" si="5"/>
        <v>950</v>
      </c>
      <c r="H13" s="4" t="s">
        <v>30</v>
      </c>
      <c r="I13" s="18">
        <v>2</v>
      </c>
      <c r="J13" s="5">
        <v>475</v>
      </c>
      <c r="K13" s="6"/>
      <c r="L13" s="5"/>
      <c r="N13">
        <f t="shared" si="6"/>
        <v>2025</v>
      </c>
      <c r="O13">
        <f t="shared" si="7"/>
        <v>2</v>
      </c>
    </row>
    <row r="14" ht="15">
      <c r="A14" s="14">
        <v>45737</v>
      </c>
      <c r="B14" s="1" t="s">
        <v>22</v>
      </c>
      <c r="C14" s="15" t="s">
        <v>17</v>
      </c>
      <c r="D14" s="19" t="s">
        <v>33</v>
      </c>
      <c r="E14" s="3">
        <v>250</v>
      </c>
      <c r="F14" s="3">
        <v>0</v>
      </c>
      <c r="G14" s="3">
        <v>250</v>
      </c>
      <c r="H14" s="4" t="s">
        <v>30</v>
      </c>
      <c r="I14">
        <v>0</v>
      </c>
      <c r="J14" s="16">
        <v>0</v>
      </c>
      <c r="K14" s="6"/>
      <c r="L14" s="5"/>
      <c r="N14">
        <f t="shared" si="6"/>
        <v>2025</v>
      </c>
      <c r="O14">
        <f t="shared" si="7"/>
        <v>3</v>
      </c>
    </row>
    <row r="15">
      <c r="A15" s="17">
        <v>45713</v>
      </c>
      <c r="B15" s="1" t="s">
        <v>34</v>
      </c>
      <c r="C15" s="15" t="s">
        <v>17</v>
      </c>
      <c r="D15" s="19" t="s">
        <v>35</v>
      </c>
      <c r="E15" s="3">
        <f>I15*J15</f>
        <v>450</v>
      </c>
      <c r="F15" s="3">
        <v>0</v>
      </c>
      <c r="G15" s="3">
        <f>E15+F15</f>
        <v>450</v>
      </c>
      <c r="H15" s="4" t="s">
        <v>30</v>
      </c>
      <c r="I15" s="18">
        <v>0.5</v>
      </c>
      <c r="J15" s="16">
        <v>900</v>
      </c>
      <c r="K15" s="6"/>
      <c r="L15" s="5"/>
      <c r="N15">
        <f t="shared" si="6"/>
        <v>2025</v>
      </c>
      <c r="O15">
        <f t="shared" si="7"/>
        <v>2</v>
      </c>
    </row>
    <row r="16">
      <c r="A16" s="17">
        <v>45713</v>
      </c>
      <c r="B16" s="1" t="s">
        <v>22</v>
      </c>
      <c r="C16" s="15" t="s">
        <v>17</v>
      </c>
      <c r="D16" s="19" t="s">
        <v>36</v>
      </c>
      <c r="E16" s="3">
        <f>I16*J16</f>
        <v>350</v>
      </c>
      <c r="F16" s="3">
        <v>0</v>
      </c>
      <c r="G16" s="3">
        <f>E16+F16</f>
        <v>350</v>
      </c>
      <c r="H16" s="4" t="s">
        <v>30</v>
      </c>
      <c r="I16" s="18">
        <v>0.5</v>
      </c>
      <c r="J16" s="16">
        <v>700</v>
      </c>
      <c r="K16" s="6"/>
      <c r="L16" s="5"/>
      <c r="N16">
        <f t="shared" si="6"/>
        <v>2025</v>
      </c>
      <c r="O16">
        <f t="shared" si="7"/>
        <v>2</v>
      </c>
    </row>
    <row r="17">
      <c r="A17" s="20">
        <v>45714</v>
      </c>
      <c r="B17" s="1" t="s">
        <v>37</v>
      </c>
      <c r="C17" s="15" t="s">
        <v>17</v>
      </c>
      <c r="D17" s="2" t="s">
        <v>38</v>
      </c>
      <c r="E17" s="3">
        <f>I17*J17</f>
        <v>4000</v>
      </c>
      <c r="F17" s="3">
        <f>0.2*E17</f>
        <v>800</v>
      </c>
      <c r="G17" s="3">
        <f>E17+F17</f>
        <v>4800</v>
      </c>
      <c r="H17" s="4" t="s">
        <v>15</v>
      </c>
      <c r="I17" s="21">
        <v>8</v>
      </c>
      <c r="J17" s="5">
        <v>500</v>
      </c>
      <c r="K17" s="6"/>
      <c r="L17" s="5"/>
      <c r="N17">
        <f t="shared" si="6"/>
        <v>2025</v>
      </c>
      <c r="O17">
        <f t="shared" si="7"/>
        <v>2</v>
      </c>
    </row>
    <row r="18">
      <c r="A18" s="14">
        <v>45714</v>
      </c>
      <c r="B18" s="1" t="s">
        <v>39</v>
      </c>
      <c r="C18" s="15" t="s">
        <v>13</v>
      </c>
      <c r="D18" s="2" t="s">
        <v>40</v>
      </c>
      <c r="E18" s="3">
        <f>I18*J18</f>
        <v>1350</v>
      </c>
      <c r="F18" s="3">
        <f>0.2*E18</f>
        <v>270</v>
      </c>
      <c r="G18" s="3">
        <f>E18+F18</f>
        <v>1620</v>
      </c>
      <c r="H18" s="22" t="s">
        <v>30</v>
      </c>
      <c r="I18">
        <v>3</v>
      </c>
      <c r="J18" s="16">
        <v>450</v>
      </c>
      <c r="K18" s="6"/>
      <c r="L18" s="5"/>
      <c r="N18">
        <f t="shared" si="6"/>
        <v>2025</v>
      </c>
      <c r="O18">
        <f t="shared" si="7"/>
        <v>2</v>
      </c>
    </row>
    <row r="19">
      <c r="A19" s="17">
        <v>45716</v>
      </c>
      <c r="B19" s="1" t="s">
        <v>26</v>
      </c>
      <c r="C19" s="15" t="s">
        <v>13</v>
      </c>
      <c r="D19" s="19" t="s">
        <v>41</v>
      </c>
      <c r="E19" s="3">
        <f>I19*J19</f>
        <v>7250</v>
      </c>
      <c r="F19" s="3">
        <f>0.2*E19</f>
        <v>1450</v>
      </c>
      <c r="G19" s="3">
        <f>E19+F19</f>
        <v>8700</v>
      </c>
      <c r="H19" s="4" t="s">
        <v>30</v>
      </c>
      <c r="I19" s="18">
        <v>14.5</v>
      </c>
      <c r="J19" s="16">
        <v>500</v>
      </c>
      <c r="K19" s="6"/>
      <c r="L19" s="5"/>
      <c r="N19">
        <f t="shared" si="6"/>
        <v>2025</v>
      </c>
      <c r="O19">
        <f t="shared" si="7"/>
        <v>2</v>
      </c>
    </row>
    <row r="20">
      <c r="A20" s="20">
        <v>45720</v>
      </c>
      <c r="B20" s="15" t="s">
        <v>12</v>
      </c>
      <c r="C20" s="15" t="s">
        <v>13</v>
      </c>
      <c r="D20" s="19" t="s">
        <v>42</v>
      </c>
      <c r="E20" s="3">
        <f>I20*J20</f>
        <v>175</v>
      </c>
      <c r="F20" s="3">
        <f>0.2*E20</f>
        <v>35</v>
      </c>
      <c r="G20" s="3">
        <f>E20+F20</f>
        <v>210</v>
      </c>
      <c r="H20" s="4" t="s">
        <v>30</v>
      </c>
      <c r="I20" s="21">
        <v>1</v>
      </c>
      <c r="J20" s="16">
        <v>175</v>
      </c>
      <c r="K20" s="6"/>
      <c r="L20" s="5"/>
      <c r="N20">
        <f t="shared" si="6"/>
        <v>2025</v>
      </c>
      <c r="O20">
        <f t="shared" si="7"/>
        <v>3</v>
      </c>
    </row>
    <row r="21">
      <c r="A21" s="20">
        <v>45723</v>
      </c>
      <c r="B21" s="1" t="s">
        <v>16</v>
      </c>
      <c r="C21" s="1" t="s">
        <v>17</v>
      </c>
      <c r="D21" s="19" t="s">
        <v>43</v>
      </c>
      <c r="E21" s="3">
        <f>I21*J21</f>
        <v>300</v>
      </c>
      <c r="F21" s="3">
        <v>0</v>
      </c>
      <c r="G21" s="3">
        <f>E21+F21</f>
        <v>300</v>
      </c>
      <c r="H21" s="4" t="s">
        <v>30</v>
      </c>
      <c r="I21">
        <v>0.5</v>
      </c>
      <c r="J21" s="16">
        <v>600</v>
      </c>
      <c r="K21" s="6"/>
      <c r="L21" s="5"/>
      <c r="N21">
        <f t="shared" si="6"/>
        <v>2025</v>
      </c>
      <c r="O21">
        <f t="shared" si="7"/>
        <v>3</v>
      </c>
    </row>
    <row r="22">
      <c r="A22" s="17">
        <v>45727</v>
      </c>
      <c r="B22" s="15" t="s">
        <v>19</v>
      </c>
      <c r="C22" s="15" t="s">
        <v>13</v>
      </c>
      <c r="D22" s="19" t="s">
        <v>44</v>
      </c>
      <c r="E22" s="3">
        <f>I22*J22</f>
        <v>950</v>
      </c>
      <c r="F22" s="3">
        <f>0.2*E22</f>
        <v>190</v>
      </c>
      <c r="G22" s="3">
        <f>E22+F22</f>
        <v>1140</v>
      </c>
      <c r="H22" s="4" t="s">
        <v>30</v>
      </c>
      <c r="I22" s="21">
        <v>2</v>
      </c>
      <c r="J22" s="5">
        <v>475</v>
      </c>
      <c r="K22" s="6"/>
      <c r="L22" s="5"/>
      <c r="N22">
        <f t="shared" si="6"/>
        <v>2025</v>
      </c>
      <c r="O22">
        <f t="shared" si="7"/>
        <v>3</v>
      </c>
    </row>
    <row r="23">
      <c r="A23" s="20">
        <v>45734</v>
      </c>
      <c r="B23" s="15" t="s">
        <v>45</v>
      </c>
      <c r="C23" s="15" t="s">
        <v>17</v>
      </c>
      <c r="D23" s="19" t="s">
        <v>46</v>
      </c>
      <c r="E23" s="3">
        <f>I23*J23</f>
        <v>750</v>
      </c>
      <c r="F23" s="3">
        <v>0</v>
      </c>
      <c r="G23" s="3">
        <f>E23+F23</f>
        <v>750</v>
      </c>
      <c r="H23" s="4" t="s">
        <v>30</v>
      </c>
      <c r="I23">
        <v>1</v>
      </c>
      <c r="J23" s="16">
        <v>750</v>
      </c>
      <c r="K23" s="6"/>
      <c r="L23" s="5"/>
      <c r="M23" s="18"/>
      <c r="N23">
        <f t="shared" si="6"/>
        <v>2025</v>
      </c>
      <c r="O23">
        <f t="shared" si="7"/>
        <v>3</v>
      </c>
    </row>
    <row r="24">
      <c r="A24" s="17">
        <v>45734</v>
      </c>
      <c r="B24" s="15" t="s">
        <v>19</v>
      </c>
      <c r="C24" s="15" t="s">
        <v>17</v>
      </c>
      <c r="D24" s="2" t="s">
        <v>47</v>
      </c>
      <c r="E24" s="3">
        <f>I24*J24</f>
        <v>2375</v>
      </c>
      <c r="F24" s="3">
        <v>0</v>
      </c>
      <c r="G24" s="3">
        <f>E24+F24</f>
        <v>2375</v>
      </c>
      <c r="H24" s="4" t="s">
        <v>30</v>
      </c>
      <c r="I24" s="21">
        <v>5</v>
      </c>
      <c r="J24" s="5">
        <v>475</v>
      </c>
      <c r="K24" s="6"/>
      <c r="L24" s="5"/>
      <c r="N24">
        <f t="shared" si="6"/>
        <v>2025</v>
      </c>
      <c r="O24">
        <f t="shared" si="7"/>
        <v>3</v>
      </c>
    </row>
    <row r="25">
      <c r="A25" s="14">
        <v>45734</v>
      </c>
      <c r="B25" s="1" t="s">
        <v>22</v>
      </c>
      <c r="C25" s="1" t="s">
        <v>17</v>
      </c>
      <c r="D25" s="19" t="s">
        <v>48</v>
      </c>
      <c r="E25" s="3">
        <v>400</v>
      </c>
      <c r="F25" s="3">
        <v>0</v>
      </c>
      <c r="G25" s="3">
        <f>E25+F25</f>
        <v>400</v>
      </c>
      <c r="H25" s="4" t="s">
        <v>30</v>
      </c>
      <c r="I25">
        <v>1</v>
      </c>
      <c r="J25" s="16">
        <f>800-150</f>
        <v>650</v>
      </c>
      <c r="K25" s="6"/>
      <c r="L25" s="5"/>
      <c r="N25">
        <f t="shared" si="6"/>
        <v>2025</v>
      </c>
      <c r="O25">
        <f t="shared" si="7"/>
        <v>3</v>
      </c>
    </row>
    <row r="26">
      <c r="A26" s="20">
        <v>45744</v>
      </c>
      <c r="B26" s="15" t="s">
        <v>45</v>
      </c>
      <c r="C26" s="15" t="s">
        <v>17</v>
      </c>
      <c r="D26" s="19" t="s">
        <v>49</v>
      </c>
      <c r="E26" s="3">
        <f>I26*J26</f>
        <v>750</v>
      </c>
      <c r="F26" s="3">
        <v>0</v>
      </c>
      <c r="G26" s="3">
        <f>E26+F26</f>
        <v>750</v>
      </c>
      <c r="H26" s="4" t="s">
        <v>30</v>
      </c>
      <c r="I26" s="18">
        <v>1</v>
      </c>
      <c r="J26" s="16">
        <v>750</v>
      </c>
      <c r="K26" s="6"/>
      <c r="L26" s="5"/>
      <c r="N26">
        <f t="shared" si="6"/>
        <v>2025</v>
      </c>
      <c r="O26">
        <f t="shared" si="7"/>
        <v>3</v>
      </c>
    </row>
    <row r="27">
      <c r="A27" s="17">
        <v>45746</v>
      </c>
      <c r="B27" s="1" t="s">
        <v>50</v>
      </c>
      <c r="C27" s="1" t="s">
        <v>17</v>
      </c>
      <c r="D27" s="23"/>
      <c r="E27" s="3">
        <f>I27*J27</f>
        <v>1890</v>
      </c>
      <c r="F27" s="3">
        <v>0</v>
      </c>
      <c r="G27" s="3">
        <f>E27+F27</f>
        <v>1890</v>
      </c>
      <c r="H27" s="4" t="s">
        <v>51</v>
      </c>
      <c r="I27" s="21">
        <v>2</v>
      </c>
      <c r="J27" s="3">
        <v>945</v>
      </c>
      <c r="K27" s="6"/>
      <c r="L27" s="5"/>
      <c r="N27">
        <f t="shared" si="6"/>
        <v>2025</v>
      </c>
      <c r="O27">
        <f t="shared" si="7"/>
        <v>3</v>
      </c>
    </row>
    <row r="28">
      <c r="A28" s="17">
        <v>45746</v>
      </c>
      <c r="B28" s="1" t="s">
        <v>26</v>
      </c>
      <c r="C28" s="15" t="s">
        <v>13</v>
      </c>
      <c r="D28" s="24"/>
      <c r="E28" s="3">
        <f>I28*J28</f>
        <v>7000</v>
      </c>
      <c r="F28" s="3">
        <f>0.2*E28</f>
        <v>1400</v>
      </c>
      <c r="G28" s="3">
        <f>E28+F28</f>
        <v>8400</v>
      </c>
      <c r="H28" s="4" t="s">
        <v>51</v>
      </c>
      <c r="I28">
        <v>14</v>
      </c>
      <c r="J28" s="16">
        <v>500</v>
      </c>
      <c r="K28" s="6"/>
      <c r="L28" s="5"/>
      <c r="N28">
        <f t="shared" si="6"/>
        <v>2025</v>
      </c>
      <c r="O28">
        <f t="shared" si="7"/>
        <v>3</v>
      </c>
    </row>
    <row r="29">
      <c r="A29" s="20">
        <v>45746</v>
      </c>
      <c r="B29" s="15" t="s">
        <v>45</v>
      </c>
      <c r="C29" s="15" t="s">
        <v>17</v>
      </c>
      <c r="D29" s="2"/>
      <c r="E29" s="3">
        <f>I29*J29</f>
        <v>900</v>
      </c>
      <c r="F29" s="3">
        <v>0</v>
      </c>
      <c r="G29" s="3">
        <f>E29+F29</f>
        <v>900</v>
      </c>
      <c r="H29" s="4" t="s">
        <v>51</v>
      </c>
      <c r="I29">
        <v>1</v>
      </c>
      <c r="J29" s="16">
        <v>900</v>
      </c>
      <c r="K29" s="6"/>
      <c r="L29" s="5"/>
      <c r="N29">
        <f t="shared" si="6"/>
        <v>2025</v>
      </c>
      <c r="O29">
        <f t="shared" si="7"/>
        <v>3</v>
      </c>
    </row>
    <row r="30">
      <c r="A30" s="20">
        <v>45746</v>
      </c>
      <c r="B30" s="15" t="s">
        <v>34</v>
      </c>
      <c r="C30" s="15" t="s">
        <v>17</v>
      </c>
      <c r="D30" s="19"/>
      <c r="E30" s="3">
        <f>I30*J30</f>
        <v>450</v>
      </c>
      <c r="F30" s="3">
        <v>0</v>
      </c>
      <c r="G30" s="3">
        <f>E30+F30</f>
        <v>450</v>
      </c>
      <c r="H30" s="4" t="s">
        <v>51</v>
      </c>
      <c r="I30">
        <v>0.5</v>
      </c>
      <c r="J30" s="16">
        <v>900</v>
      </c>
      <c r="K30" s="6"/>
      <c r="L30" s="5"/>
      <c r="M30" s="18"/>
      <c r="N30">
        <f t="shared" si="6"/>
        <v>2025</v>
      </c>
      <c r="O30">
        <f t="shared" si="7"/>
        <v>3</v>
      </c>
    </row>
    <row r="31">
      <c r="A31" s="20">
        <v>45746</v>
      </c>
      <c r="B31" s="1" t="s">
        <v>19</v>
      </c>
      <c r="C31" s="1" t="s">
        <v>17</v>
      </c>
      <c r="D31" s="2"/>
      <c r="E31" s="25">
        <f>2100</f>
        <v>2100</v>
      </c>
      <c r="F31" s="3">
        <v>0</v>
      </c>
      <c r="G31" s="3">
        <f>E31+F31</f>
        <v>2100</v>
      </c>
      <c r="H31" s="22" t="s">
        <v>52</v>
      </c>
      <c r="I31">
        <v>0</v>
      </c>
      <c r="J31" s="16">
        <v>0</v>
      </c>
      <c r="K31" s="6"/>
      <c r="L31" s="5"/>
      <c r="N31">
        <f t="shared" si="6"/>
        <v>2025</v>
      </c>
      <c r="O31">
        <f t="shared" si="7"/>
        <v>3</v>
      </c>
    </row>
    <row r="32">
      <c r="A32" s="14">
        <v>45746</v>
      </c>
      <c r="B32" s="15" t="s">
        <v>45</v>
      </c>
      <c r="C32" s="15" t="s">
        <v>17</v>
      </c>
      <c r="D32" s="2"/>
      <c r="E32" s="3">
        <f>I32*J32</f>
        <v>750</v>
      </c>
      <c r="F32" s="3">
        <f>0.2*E32</f>
        <v>150</v>
      </c>
      <c r="G32" s="3">
        <f>E32+F32</f>
        <v>900</v>
      </c>
      <c r="H32" s="4" t="s">
        <v>51</v>
      </c>
      <c r="I32" s="21">
        <v>1</v>
      </c>
      <c r="J32" s="16">
        <v>750</v>
      </c>
      <c r="K32" s="6"/>
      <c r="L32" s="5"/>
      <c r="N32">
        <f t="shared" si="6"/>
        <v>2025</v>
      </c>
      <c r="O32">
        <f t="shared" si="7"/>
        <v>3</v>
      </c>
    </row>
    <row r="33">
      <c r="A33" s="14">
        <v>45775</v>
      </c>
      <c r="B33" s="1" t="s">
        <v>37</v>
      </c>
      <c r="C33" s="15" t="s">
        <v>13</v>
      </c>
      <c r="D33" s="2"/>
      <c r="E33" s="3">
        <f>I33*J33</f>
        <v>2000</v>
      </c>
      <c r="F33" s="3">
        <f>0.2*E33</f>
        <v>400</v>
      </c>
      <c r="G33" s="3">
        <f>E33+F33</f>
        <v>2400</v>
      </c>
      <c r="H33" s="4" t="s">
        <v>51</v>
      </c>
      <c r="I33">
        <v>4</v>
      </c>
      <c r="J33" s="16">
        <v>500</v>
      </c>
      <c r="K33" s="6"/>
      <c r="L33" s="5"/>
      <c r="M33" s="18"/>
      <c r="N33">
        <f t="shared" si="6"/>
        <v>2025</v>
      </c>
      <c r="O33">
        <f t="shared" si="7"/>
        <v>4</v>
      </c>
    </row>
    <row r="34">
      <c r="A34" s="20">
        <v>45777</v>
      </c>
      <c r="B34" s="15" t="s">
        <v>53</v>
      </c>
      <c r="C34" s="15" t="s">
        <v>13</v>
      </c>
      <c r="D34" s="19"/>
      <c r="E34" s="3">
        <f>I34*J34</f>
        <v>10000</v>
      </c>
      <c r="F34" s="3">
        <f>0.2*E34</f>
        <v>2000</v>
      </c>
      <c r="G34" s="3">
        <f>E34+F34</f>
        <v>12000</v>
      </c>
      <c r="H34" s="22" t="s">
        <v>52</v>
      </c>
      <c r="I34">
        <v>20</v>
      </c>
      <c r="J34" s="16">
        <v>500</v>
      </c>
      <c r="K34" s="6"/>
      <c r="L34" s="5"/>
      <c r="M34" s="18"/>
      <c r="N34">
        <f t="shared" si="6"/>
        <v>2025</v>
      </c>
      <c r="O34">
        <f t="shared" si="7"/>
        <v>4</v>
      </c>
    </row>
    <row r="35">
      <c r="A35" s="20">
        <v>45777</v>
      </c>
      <c r="B35" s="1" t="s">
        <v>54</v>
      </c>
      <c r="C35" s="15" t="s">
        <v>13</v>
      </c>
      <c r="D35" s="2"/>
      <c r="E35" s="3">
        <f>I35*J35</f>
        <v>5000</v>
      </c>
      <c r="F35" s="3">
        <f>0.2*E35</f>
        <v>1000</v>
      </c>
      <c r="G35" s="3">
        <f>E35+F35</f>
        <v>6000</v>
      </c>
      <c r="H35" s="22" t="s">
        <v>52</v>
      </c>
      <c r="I35" s="18">
        <v>1</v>
      </c>
      <c r="J35" s="5">
        <v>5000</v>
      </c>
      <c r="K35" s="6"/>
      <c r="L35" s="5"/>
      <c r="N35">
        <f t="shared" si="6"/>
        <v>2025</v>
      </c>
      <c r="O35">
        <f t="shared" si="7"/>
        <v>4</v>
      </c>
    </row>
    <row r="36">
      <c r="A36" s="17">
        <v>45777</v>
      </c>
      <c r="B36" s="1" t="s">
        <v>50</v>
      </c>
      <c r="C36" s="1" t="s">
        <v>17</v>
      </c>
      <c r="D36" s="19"/>
      <c r="E36" s="3">
        <f>I36*J36</f>
        <v>810</v>
      </c>
      <c r="F36" s="3">
        <f>0.2*E36</f>
        <v>162</v>
      </c>
      <c r="G36" s="3">
        <f>E36+F36</f>
        <v>972</v>
      </c>
      <c r="H36" s="4" t="s">
        <v>51</v>
      </c>
      <c r="I36" s="21">
        <v>1</v>
      </c>
      <c r="J36" s="3">
        <v>810</v>
      </c>
      <c r="K36" s="6"/>
      <c r="L36" s="5"/>
      <c r="N36">
        <f t="shared" si="6"/>
        <v>2025</v>
      </c>
      <c r="O36">
        <f t="shared" si="7"/>
        <v>4</v>
      </c>
    </row>
    <row r="37">
      <c r="A37" s="20">
        <v>45777</v>
      </c>
      <c r="B37" s="1" t="s">
        <v>26</v>
      </c>
      <c r="C37" s="15" t="s">
        <v>13</v>
      </c>
      <c r="D37" s="2"/>
      <c r="E37" s="3">
        <f>I37*J37</f>
        <v>8000</v>
      </c>
      <c r="F37" s="3">
        <f>0.2*E37</f>
        <v>1600</v>
      </c>
      <c r="G37" s="3">
        <f>E37+F37</f>
        <v>9600</v>
      </c>
      <c r="H37" s="4" t="s">
        <v>51</v>
      </c>
      <c r="I37">
        <v>16</v>
      </c>
      <c r="J37" s="16">
        <v>500</v>
      </c>
      <c r="K37" s="6"/>
      <c r="L37" s="5"/>
      <c r="M37" s="18"/>
      <c r="N37">
        <f t="shared" si="6"/>
        <v>2025</v>
      </c>
      <c r="O37">
        <f t="shared" si="7"/>
        <v>4</v>
      </c>
    </row>
    <row r="38">
      <c r="A38" s="20">
        <v>45777</v>
      </c>
      <c r="B38" s="1" t="s">
        <v>55</v>
      </c>
      <c r="C38" s="15" t="s">
        <v>13</v>
      </c>
      <c r="D38" s="2"/>
      <c r="E38" s="3">
        <f>I38*J38</f>
        <v>5000</v>
      </c>
      <c r="F38" s="3">
        <f>0.2*E38</f>
        <v>1000</v>
      </c>
      <c r="G38" s="3">
        <f>E38+F38</f>
        <v>6000</v>
      </c>
      <c r="H38" s="22" t="s">
        <v>52</v>
      </c>
      <c r="I38">
        <v>10</v>
      </c>
      <c r="J38" s="16">
        <v>500</v>
      </c>
      <c r="K38" s="6"/>
      <c r="L38" s="5"/>
      <c r="N38">
        <f t="shared" si="6"/>
        <v>2025</v>
      </c>
      <c r="O38">
        <f t="shared" si="7"/>
        <v>4</v>
      </c>
    </row>
    <row r="39">
      <c r="A39" s="20">
        <v>45777</v>
      </c>
      <c r="B39" s="15" t="s">
        <v>19</v>
      </c>
      <c r="C39" s="15" t="s">
        <v>13</v>
      </c>
      <c r="D39" s="2"/>
      <c r="E39" s="3">
        <f>I39*J39</f>
        <v>950</v>
      </c>
      <c r="F39" s="3">
        <v>0</v>
      </c>
      <c r="G39" s="3">
        <f>E39+F39</f>
        <v>950</v>
      </c>
      <c r="H39" s="4" t="s">
        <v>51</v>
      </c>
      <c r="I39">
        <v>2</v>
      </c>
      <c r="J39" s="16">
        <v>475</v>
      </c>
      <c r="K39" s="6"/>
      <c r="L39" s="5"/>
      <c r="M39" s="18"/>
      <c r="N39">
        <f t="shared" si="6"/>
        <v>2025</v>
      </c>
      <c r="O39">
        <f t="shared" si="7"/>
        <v>4</v>
      </c>
    </row>
    <row r="40">
      <c r="A40" s="20">
        <v>45777</v>
      </c>
      <c r="B40" s="1" t="s">
        <v>56</v>
      </c>
      <c r="C40" s="15" t="s">
        <v>13</v>
      </c>
      <c r="D40" s="2"/>
      <c r="E40" s="3">
        <f>I40*J40</f>
        <v>5000</v>
      </c>
      <c r="F40" s="3">
        <f>0.2*E40</f>
        <v>1000</v>
      </c>
      <c r="G40" s="3">
        <f>E40+F40</f>
        <v>6000</v>
      </c>
      <c r="H40" s="4" t="s">
        <v>51</v>
      </c>
      <c r="I40">
        <v>10</v>
      </c>
      <c r="J40" s="16">
        <v>500</v>
      </c>
      <c r="K40" s="6"/>
      <c r="L40" s="5"/>
      <c r="M40" s="18"/>
      <c r="N40">
        <f t="shared" si="6"/>
        <v>2025</v>
      </c>
      <c r="O40">
        <f t="shared" si="7"/>
        <v>4</v>
      </c>
    </row>
    <row r="41">
      <c r="A41" s="20">
        <v>45800</v>
      </c>
      <c r="B41" s="15" t="s">
        <v>45</v>
      </c>
      <c r="C41" s="15" t="s">
        <v>17</v>
      </c>
      <c r="D41" s="2"/>
      <c r="E41" s="3">
        <v>900</v>
      </c>
      <c r="F41" s="3">
        <v>0</v>
      </c>
      <c r="G41" s="3">
        <v>900</v>
      </c>
      <c r="H41" s="22" t="s">
        <v>52</v>
      </c>
      <c r="I41">
        <v>0</v>
      </c>
      <c r="J41" s="16">
        <v>0</v>
      </c>
      <c r="K41" s="6"/>
      <c r="L41" s="5"/>
      <c r="N41">
        <f t="shared" si="6"/>
        <v>2025</v>
      </c>
      <c r="O41">
        <f t="shared" si="7"/>
        <v>5</v>
      </c>
    </row>
    <row r="42">
      <c r="A42" s="14">
        <v>45805</v>
      </c>
      <c r="B42" s="1" t="s">
        <v>37</v>
      </c>
      <c r="C42" s="15" t="s">
        <v>17</v>
      </c>
      <c r="D42" s="2"/>
      <c r="E42" s="3">
        <f>I42*J42</f>
        <v>6000</v>
      </c>
      <c r="F42" s="3">
        <f>0.2*E42</f>
        <v>1200</v>
      </c>
      <c r="G42" s="3">
        <f>E42+F42</f>
        <v>7200</v>
      </c>
      <c r="H42" s="22" t="s">
        <v>52</v>
      </c>
      <c r="I42">
        <v>12</v>
      </c>
      <c r="J42" s="16">
        <v>500</v>
      </c>
      <c r="K42" s="6"/>
      <c r="L42" s="5"/>
      <c r="N42">
        <f t="shared" si="6"/>
        <v>2025</v>
      </c>
      <c r="O42">
        <f t="shared" si="7"/>
        <v>5</v>
      </c>
    </row>
    <row r="43">
      <c r="A43" s="17">
        <v>45807</v>
      </c>
      <c r="B43" s="1" t="s">
        <v>50</v>
      </c>
      <c r="C43" s="1" t="s">
        <v>17</v>
      </c>
      <c r="D43" s="19"/>
      <c r="E43" s="3">
        <f>I43*J43</f>
        <v>1350</v>
      </c>
      <c r="F43" s="3">
        <f>0.2*E43</f>
        <v>270</v>
      </c>
      <c r="G43" s="3">
        <f>E43+F43</f>
        <v>1620</v>
      </c>
      <c r="H43" s="4" t="s">
        <v>51</v>
      </c>
      <c r="I43">
        <v>2</v>
      </c>
      <c r="J43" s="5">
        <v>675</v>
      </c>
      <c r="K43" s="6"/>
      <c r="L43" s="5"/>
      <c r="N43">
        <f t="shared" si="6"/>
        <v>2025</v>
      </c>
      <c r="O43">
        <f t="shared" si="7"/>
        <v>5</v>
      </c>
    </row>
    <row r="44">
      <c r="A44" s="17">
        <v>45807</v>
      </c>
      <c r="B44" s="1" t="s">
        <v>26</v>
      </c>
      <c r="C44" s="15" t="s">
        <v>13</v>
      </c>
      <c r="D44" s="2"/>
      <c r="E44" s="3">
        <f>I44*J44</f>
        <v>6000</v>
      </c>
      <c r="F44" s="3">
        <f>0.2*E44</f>
        <v>1200</v>
      </c>
      <c r="G44" s="3">
        <f>E44+F44</f>
        <v>7200</v>
      </c>
      <c r="H44" s="4" t="s">
        <v>51</v>
      </c>
      <c r="I44" s="18">
        <v>12</v>
      </c>
      <c r="J44" s="16">
        <v>500</v>
      </c>
      <c r="K44" s="6"/>
      <c r="L44" s="5"/>
      <c r="N44">
        <f t="shared" si="6"/>
        <v>2025</v>
      </c>
      <c r="O44">
        <f t="shared" si="7"/>
        <v>5</v>
      </c>
    </row>
    <row r="45">
      <c r="A45" s="17">
        <v>45807</v>
      </c>
      <c r="B45" s="15" t="s">
        <v>19</v>
      </c>
      <c r="C45" s="15" t="s">
        <v>13</v>
      </c>
      <c r="D45" s="2"/>
      <c r="E45" s="3">
        <f>I45*J45</f>
        <v>950</v>
      </c>
      <c r="F45" s="3">
        <f>0.2*E45</f>
        <v>190</v>
      </c>
      <c r="G45" s="3">
        <f>E45+F45</f>
        <v>1140</v>
      </c>
      <c r="H45" s="4" t="s">
        <v>51</v>
      </c>
      <c r="I45" s="21">
        <v>2</v>
      </c>
      <c r="J45" s="5">
        <v>475</v>
      </c>
      <c r="K45" s="6"/>
      <c r="L45" s="5"/>
      <c r="N45">
        <f t="shared" si="6"/>
        <v>2025</v>
      </c>
      <c r="O45">
        <f t="shared" si="7"/>
        <v>5</v>
      </c>
    </row>
    <row r="46">
      <c r="A46" s="20">
        <v>45808</v>
      </c>
      <c r="B46" s="15" t="s">
        <v>57</v>
      </c>
      <c r="C46" s="15" t="s">
        <v>13</v>
      </c>
      <c r="D46" s="2"/>
      <c r="E46" s="3">
        <f>I46*J46</f>
        <v>630</v>
      </c>
      <c r="F46" s="3">
        <f>0.2*E46</f>
        <v>126</v>
      </c>
      <c r="G46" s="3">
        <f>E46+F46</f>
        <v>756</v>
      </c>
      <c r="H46" s="22" t="s">
        <v>52</v>
      </c>
      <c r="I46" s="21">
        <v>6</v>
      </c>
      <c r="J46" s="5">
        <v>105</v>
      </c>
      <c r="K46" s="6"/>
      <c r="L46" s="5"/>
      <c r="M46" s="18"/>
      <c r="N46">
        <f t="shared" si="6"/>
        <v>2025</v>
      </c>
      <c r="O46">
        <f t="shared" si="7"/>
        <v>5</v>
      </c>
    </row>
    <row r="47">
      <c r="A47" s="14">
        <v>45808</v>
      </c>
      <c r="B47" s="15" t="s">
        <v>58</v>
      </c>
      <c r="C47" s="15" t="s">
        <v>17</v>
      </c>
      <c r="D47" s="2"/>
      <c r="E47" s="3">
        <f>I47*J47</f>
        <v>2700</v>
      </c>
      <c r="F47" s="3">
        <f>0.2*E47</f>
        <v>540</v>
      </c>
      <c r="G47" s="3">
        <f>E47+F47</f>
        <v>3240</v>
      </c>
      <c r="H47" s="22" t="s">
        <v>52</v>
      </c>
      <c r="I47">
        <v>3</v>
      </c>
      <c r="J47" s="16">
        <v>900</v>
      </c>
      <c r="K47" s="6"/>
      <c r="L47" s="5"/>
      <c r="N47">
        <f t="shared" si="6"/>
        <v>2025</v>
      </c>
      <c r="O47">
        <f t="shared" si="7"/>
        <v>5</v>
      </c>
    </row>
    <row r="48">
      <c r="A48" s="20">
        <v>45831</v>
      </c>
      <c r="B48" s="15" t="s">
        <v>45</v>
      </c>
      <c r="C48" s="15" t="s">
        <v>17</v>
      </c>
      <c r="D48" s="2"/>
      <c r="E48" s="3">
        <v>900</v>
      </c>
      <c r="F48" s="3">
        <v>0</v>
      </c>
      <c r="G48" s="3">
        <v>900</v>
      </c>
      <c r="H48" s="22" t="s">
        <v>52</v>
      </c>
      <c r="I48">
        <v>0</v>
      </c>
      <c r="J48" s="16">
        <v>0</v>
      </c>
      <c r="K48" s="6"/>
      <c r="L48" s="5"/>
      <c r="N48">
        <f t="shared" si="6"/>
        <v>2025</v>
      </c>
      <c r="O48">
        <f t="shared" si="7"/>
        <v>6</v>
      </c>
    </row>
    <row r="49">
      <c r="A49" s="14">
        <v>45838</v>
      </c>
      <c r="B49" s="1" t="s">
        <v>59</v>
      </c>
      <c r="C49" s="15" t="s">
        <v>13</v>
      </c>
      <c r="D49" s="2"/>
      <c r="E49" s="3">
        <f>I49*J49</f>
        <v>10000</v>
      </c>
      <c r="F49" s="3">
        <f>0.2*E49</f>
        <v>2000</v>
      </c>
      <c r="G49" s="3">
        <f>E49+F49</f>
        <v>12000</v>
      </c>
      <c r="H49" s="22" t="s">
        <v>51</v>
      </c>
      <c r="I49">
        <v>20</v>
      </c>
      <c r="J49" s="16">
        <v>500</v>
      </c>
      <c r="K49" s="6"/>
      <c r="L49" s="5"/>
      <c r="N49">
        <f t="shared" si="6"/>
        <v>2025</v>
      </c>
      <c r="O49">
        <f t="shared" si="7"/>
        <v>6</v>
      </c>
    </row>
    <row r="50">
      <c r="A50" s="17">
        <v>45838</v>
      </c>
      <c r="B50" s="1" t="s">
        <v>26</v>
      </c>
      <c r="C50" s="15" t="s">
        <v>13</v>
      </c>
      <c r="D50" s="2"/>
      <c r="E50" s="3">
        <f>I50*J50</f>
        <v>8000</v>
      </c>
      <c r="F50" s="3">
        <f>0.2*E50</f>
        <v>1600</v>
      </c>
      <c r="G50" s="3">
        <f>E50+F50</f>
        <v>9600</v>
      </c>
      <c r="H50" s="4" t="s">
        <v>51</v>
      </c>
      <c r="I50" s="21">
        <v>16</v>
      </c>
      <c r="J50" s="16">
        <v>500</v>
      </c>
      <c r="K50" s="6"/>
      <c r="L50" s="5"/>
      <c r="N50">
        <f t="shared" si="6"/>
        <v>2025</v>
      </c>
      <c r="O50">
        <f t="shared" si="7"/>
        <v>6</v>
      </c>
    </row>
    <row r="51">
      <c r="A51" s="17">
        <v>45838</v>
      </c>
      <c r="B51" s="15" t="s">
        <v>19</v>
      </c>
      <c r="C51" s="15" t="s">
        <v>13</v>
      </c>
      <c r="D51" s="2"/>
      <c r="E51" s="3">
        <f>I51*J51</f>
        <v>950</v>
      </c>
      <c r="F51" s="3">
        <f>0.2*E51</f>
        <v>190</v>
      </c>
      <c r="G51" s="3">
        <f>E51+F51</f>
        <v>1140</v>
      </c>
      <c r="H51" s="4" t="s">
        <v>51</v>
      </c>
      <c r="I51" s="21">
        <v>2</v>
      </c>
      <c r="J51" s="5">
        <v>475</v>
      </c>
      <c r="K51" s="6"/>
      <c r="L51" s="5"/>
      <c r="N51">
        <f t="shared" si="6"/>
        <v>2025</v>
      </c>
      <c r="O51">
        <f t="shared" si="7"/>
        <v>6</v>
      </c>
    </row>
    <row r="52">
      <c r="A52" s="20">
        <v>45838</v>
      </c>
      <c r="B52" s="1" t="s">
        <v>60</v>
      </c>
      <c r="C52" s="15" t="s">
        <v>17</v>
      </c>
      <c r="D52" s="2"/>
      <c r="E52" s="3">
        <f>I52*J52</f>
        <v>1800</v>
      </c>
      <c r="F52" s="3">
        <v>0</v>
      </c>
      <c r="G52" s="3">
        <f>E52+F52</f>
        <v>1800</v>
      </c>
      <c r="H52" s="22" t="s">
        <v>52</v>
      </c>
      <c r="I52">
        <v>2</v>
      </c>
      <c r="J52" s="16">
        <v>900</v>
      </c>
      <c r="K52" s="6"/>
      <c r="L52" s="5"/>
      <c r="M52" s="18"/>
      <c r="N52">
        <f t="shared" si="6"/>
        <v>2025</v>
      </c>
      <c r="O52">
        <f t="shared" si="7"/>
        <v>6</v>
      </c>
    </row>
    <row r="53">
      <c r="A53" s="20">
        <v>45838</v>
      </c>
      <c r="B53" s="1" t="s">
        <v>61</v>
      </c>
      <c r="C53" s="15" t="s">
        <v>17</v>
      </c>
      <c r="D53" s="2"/>
      <c r="E53" s="3">
        <f>I53*J53</f>
        <v>4000</v>
      </c>
      <c r="F53" s="3">
        <v>0</v>
      </c>
      <c r="G53" s="3">
        <f>E53+F53</f>
        <v>4000</v>
      </c>
      <c r="H53" s="22" t="s">
        <v>52</v>
      </c>
      <c r="I53">
        <v>5</v>
      </c>
      <c r="J53" s="16">
        <v>800</v>
      </c>
      <c r="K53" s="6"/>
      <c r="L53" s="5"/>
      <c r="N53">
        <f t="shared" si="6"/>
        <v>2025</v>
      </c>
      <c r="O53">
        <f t="shared" si="7"/>
        <v>6</v>
      </c>
    </row>
    <row r="54">
      <c r="A54" s="20">
        <v>45838</v>
      </c>
      <c r="B54" s="1" t="s">
        <v>39</v>
      </c>
      <c r="C54" s="15" t="s">
        <v>62</v>
      </c>
      <c r="D54" s="2"/>
      <c r="E54" s="3">
        <f>I54*J54</f>
        <v>9720</v>
      </c>
      <c r="F54" s="3">
        <f>0.2*E54</f>
        <v>1944</v>
      </c>
      <c r="G54" s="3">
        <f>E54+F54</f>
        <v>11664</v>
      </c>
      <c r="H54" s="4" t="s">
        <v>51</v>
      </c>
      <c r="I54">
        <v>18</v>
      </c>
      <c r="J54" s="16">
        <v>540</v>
      </c>
      <c r="K54" s="6"/>
      <c r="L54" s="5"/>
      <c r="N54">
        <f t="shared" si="6"/>
        <v>2025</v>
      </c>
      <c r="O54">
        <f t="shared" si="7"/>
        <v>6</v>
      </c>
    </row>
    <row r="55">
      <c r="A55" s="17">
        <v>45868</v>
      </c>
      <c r="B55" s="1" t="s">
        <v>26</v>
      </c>
      <c r="C55" s="15" t="s">
        <v>13</v>
      </c>
      <c r="D55" s="19"/>
      <c r="E55" s="3">
        <f>I55*J55</f>
        <v>9500</v>
      </c>
      <c r="F55" s="3">
        <f>0.2*E55</f>
        <v>1900</v>
      </c>
      <c r="G55" s="3">
        <f>E55+F55</f>
        <v>11400</v>
      </c>
      <c r="H55" s="4" t="s">
        <v>51</v>
      </c>
      <c r="I55" s="21">
        <v>19</v>
      </c>
      <c r="J55" s="16">
        <v>500</v>
      </c>
      <c r="K55" s="6"/>
      <c r="L55" s="5"/>
      <c r="N55">
        <f t="shared" si="6"/>
        <v>2025</v>
      </c>
      <c r="O55">
        <f t="shared" si="7"/>
        <v>7</v>
      </c>
    </row>
    <row r="56">
      <c r="A56" s="14">
        <v>45868</v>
      </c>
      <c r="B56" s="1" t="s">
        <v>39</v>
      </c>
      <c r="C56" s="15" t="s">
        <v>62</v>
      </c>
      <c r="D56" s="2"/>
      <c r="E56" s="3">
        <f>I56*J56</f>
        <v>9720</v>
      </c>
      <c r="F56" s="3">
        <f>0.2*E56</f>
        <v>1944</v>
      </c>
      <c r="G56" s="3">
        <f>E56+F56</f>
        <v>11664</v>
      </c>
      <c r="H56" s="4" t="s">
        <v>51</v>
      </c>
      <c r="I56">
        <v>18</v>
      </c>
      <c r="J56" s="16">
        <v>540</v>
      </c>
      <c r="K56" s="6"/>
      <c r="L56" s="5"/>
      <c r="N56">
        <f t="shared" si="6"/>
        <v>2025</v>
      </c>
      <c r="O56">
        <f t="shared" si="7"/>
        <v>7</v>
      </c>
    </row>
    <row r="57">
      <c r="A57" s="20">
        <v>45898</v>
      </c>
      <c r="B57" s="1" t="s">
        <v>39</v>
      </c>
      <c r="C57" s="15" t="s">
        <v>62</v>
      </c>
      <c r="D57" s="2"/>
      <c r="E57" s="3">
        <f>I57*J57</f>
        <v>2700</v>
      </c>
      <c r="F57" s="3">
        <f>0.2*E57</f>
        <v>540</v>
      </c>
      <c r="G57" s="3">
        <f>E57+F57</f>
        <v>3240</v>
      </c>
      <c r="H57" s="4" t="s">
        <v>51</v>
      </c>
      <c r="I57">
        <v>5</v>
      </c>
      <c r="J57" s="16">
        <v>540</v>
      </c>
      <c r="K57" s="6"/>
      <c r="L57" s="5"/>
      <c r="N57">
        <f t="shared" si="6"/>
        <v>2025</v>
      </c>
      <c r="O57">
        <f t="shared" si="7"/>
        <v>8</v>
      </c>
    </row>
    <row r="58">
      <c r="A58" s="17">
        <v>45899</v>
      </c>
      <c r="B58" s="1" t="s">
        <v>26</v>
      </c>
      <c r="C58" s="15" t="s">
        <v>13</v>
      </c>
      <c r="D58" s="19"/>
      <c r="E58" s="3">
        <f>I58*J58</f>
        <v>2500</v>
      </c>
      <c r="F58" s="3">
        <f>0.2*E58</f>
        <v>500</v>
      </c>
      <c r="G58" s="3">
        <f>E58+F58</f>
        <v>3000</v>
      </c>
      <c r="H58" s="4" t="s">
        <v>51</v>
      </c>
      <c r="I58">
        <v>5</v>
      </c>
      <c r="J58" s="16">
        <v>500</v>
      </c>
      <c r="K58" s="6"/>
      <c r="L58" s="5"/>
      <c r="N58">
        <f t="shared" si="6"/>
        <v>2025</v>
      </c>
      <c r="O58">
        <f t="shared" si="7"/>
        <v>8</v>
      </c>
    </row>
    <row r="59">
      <c r="A59" s="14">
        <v>45928</v>
      </c>
      <c r="B59" s="1" t="s">
        <v>39</v>
      </c>
      <c r="C59" s="15" t="s">
        <v>62</v>
      </c>
      <c r="D59" s="19"/>
      <c r="E59" s="3">
        <f>I59*J59</f>
        <v>9720</v>
      </c>
      <c r="F59" s="3">
        <f>0.2*E59</f>
        <v>1944</v>
      </c>
      <c r="G59" s="3">
        <f>E59+F59</f>
        <v>11664</v>
      </c>
      <c r="H59" s="4" t="s">
        <v>51</v>
      </c>
      <c r="I59">
        <v>18</v>
      </c>
      <c r="J59" s="16">
        <v>540</v>
      </c>
      <c r="K59" s="6"/>
      <c r="L59" s="5"/>
      <c r="N59">
        <f t="shared" si="6"/>
        <v>2025</v>
      </c>
      <c r="O59">
        <f t="shared" si="7"/>
        <v>9</v>
      </c>
    </row>
    <row r="60" ht="14.25">
      <c r="A60" s="17">
        <v>45930</v>
      </c>
      <c r="B60" s="1" t="s">
        <v>63</v>
      </c>
      <c r="C60" s="15" t="s">
        <v>13</v>
      </c>
      <c r="D60" s="2"/>
      <c r="E60" s="3">
        <f>I60*J60</f>
        <v>7700</v>
      </c>
      <c r="F60" s="3">
        <f>0.2*E60</f>
        <v>1540</v>
      </c>
      <c r="G60" s="3">
        <f>E60+F60</f>
        <v>9240</v>
      </c>
      <c r="H60" s="22" t="s">
        <v>52</v>
      </c>
      <c r="I60">
        <v>14</v>
      </c>
      <c r="J60" s="16">
        <v>550</v>
      </c>
      <c r="K60" s="6"/>
      <c r="L60" s="5"/>
      <c r="M60" s="18"/>
      <c r="N60">
        <f t="shared" si="6"/>
        <v>2025</v>
      </c>
      <c r="O60">
        <f t="shared" si="7"/>
        <v>9</v>
      </c>
    </row>
    <row r="61" ht="14.25">
      <c r="A61" s="17">
        <v>45930</v>
      </c>
      <c r="B61" s="15" t="s">
        <v>19</v>
      </c>
      <c r="C61" s="15" t="s">
        <v>13</v>
      </c>
      <c r="D61" s="19"/>
      <c r="E61" s="3">
        <f>I61*J61</f>
        <v>1425</v>
      </c>
      <c r="F61" s="3">
        <f>0.2*E61</f>
        <v>285</v>
      </c>
      <c r="G61" s="3">
        <f>E61+F61</f>
        <v>1710</v>
      </c>
      <c r="H61" s="4" t="s">
        <v>51</v>
      </c>
      <c r="I61" s="21">
        <v>3</v>
      </c>
      <c r="J61" s="5">
        <v>475</v>
      </c>
      <c r="K61" s="6"/>
      <c r="L61" s="5"/>
      <c r="N61">
        <f t="shared" si="6"/>
        <v>2025</v>
      </c>
      <c r="O61">
        <f t="shared" si="7"/>
        <v>9</v>
      </c>
    </row>
    <row r="62" ht="14.25">
      <c r="A62" s="20">
        <v>45958</v>
      </c>
      <c r="B62" s="1" t="s">
        <v>39</v>
      </c>
      <c r="C62" s="15" t="s">
        <v>62</v>
      </c>
      <c r="D62" s="19"/>
      <c r="E62" s="3">
        <f>I62*J62</f>
        <v>9720</v>
      </c>
      <c r="F62" s="3">
        <f>0.2*E62</f>
        <v>1944</v>
      </c>
      <c r="G62" s="3">
        <f>E62+F62</f>
        <v>11664</v>
      </c>
      <c r="H62" s="4" t="s">
        <v>51</v>
      </c>
      <c r="I62">
        <v>18</v>
      </c>
      <c r="J62" s="16">
        <v>540</v>
      </c>
      <c r="K62" s="6"/>
      <c r="L62" s="5"/>
      <c r="N62">
        <f t="shared" si="6"/>
        <v>2025</v>
      </c>
      <c r="O62">
        <f t="shared" si="7"/>
        <v>10</v>
      </c>
    </row>
    <row r="63" ht="14.25">
      <c r="A63" s="17">
        <v>45960</v>
      </c>
      <c r="B63" s="1" t="s">
        <v>63</v>
      </c>
      <c r="C63" s="15" t="s">
        <v>13</v>
      </c>
      <c r="D63" s="2"/>
      <c r="E63" s="3">
        <f>I63*J63</f>
        <v>7700</v>
      </c>
      <c r="F63" s="3">
        <f>0.2*E63</f>
        <v>1540</v>
      </c>
      <c r="G63" s="3">
        <f>E63+F63</f>
        <v>9240</v>
      </c>
      <c r="H63" s="22" t="s">
        <v>52</v>
      </c>
      <c r="I63">
        <v>14</v>
      </c>
      <c r="J63" s="16">
        <v>550</v>
      </c>
      <c r="K63" s="6"/>
      <c r="L63" s="5"/>
      <c r="N63">
        <f t="shared" si="6"/>
        <v>2025</v>
      </c>
      <c r="O63">
        <f t="shared" si="7"/>
        <v>10</v>
      </c>
    </row>
    <row r="64" ht="14.25">
      <c r="A64" s="14">
        <v>45988</v>
      </c>
      <c r="B64" s="15" t="s">
        <v>64</v>
      </c>
      <c r="C64" s="15" t="s">
        <v>62</v>
      </c>
      <c r="D64" s="2"/>
      <c r="E64" s="3">
        <f>I64*J64</f>
        <v>9720</v>
      </c>
      <c r="F64" s="3">
        <f>0.2*E64</f>
        <v>1944</v>
      </c>
      <c r="G64" s="3">
        <f>E64+F64</f>
        <v>11664</v>
      </c>
      <c r="H64" s="4" t="s">
        <v>51</v>
      </c>
      <c r="I64">
        <v>18</v>
      </c>
      <c r="J64" s="16">
        <v>540</v>
      </c>
      <c r="K64" s="6"/>
      <c r="L64" s="5"/>
      <c r="N64">
        <f t="shared" si="6"/>
        <v>2025</v>
      </c>
      <c r="O64">
        <f t="shared" si="7"/>
        <v>11</v>
      </c>
    </row>
    <row r="65" ht="14.25">
      <c r="A65" s="17">
        <v>45991</v>
      </c>
      <c r="B65" s="1" t="s">
        <v>63</v>
      </c>
      <c r="C65" s="15" t="s">
        <v>13</v>
      </c>
      <c r="D65" s="19"/>
      <c r="E65" s="3">
        <f>I65*J65</f>
        <v>7700</v>
      </c>
      <c r="F65" s="3">
        <f>0.2*E65</f>
        <v>1540</v>
      </c>
      <c r="G65" s="3">
        <f>E65+F65</f>
        <v>9240</v>
      </c>
      <c r="H65" s="22" t="s">
        <v>52</v>
      </c>
      <c r="I65">
        <v>14</v>
      </c>
      <c r="J65" s="16">
        <v>550</v>
      </c>
      <c r="K65" s="6"/>
      <c r="L65" s="5"/>
      <c r="M65" s="18"/>
      <c r="N65">
        <f t="shared" si="6"/>
        <v>2025</v>
      </c>
      <c r="O65">
        <f t="shared" si="7"/>
        <v>11</v>
      </c>
    </row>
    <row r="66" ht="14.25">
      <c r="A66" s="17">
        <v>45991</v>
      </c>
      <c r="B66" s="15" t="s">
        <v>19</v>
      </c>
      <c r="C66" s="15" t="s">
        <v>13</v>
      </c>
      <c r="D66" s="2"/>
      <c r="E66" s="3">
        <f>I66*J66</f>
        <v>950</v>
      </c>
      <c r="F66" s="3">
        <f>0.2*E66</f>
        <v>190</v>
      </c>
      <c r="G66" s="3">
        <f>E66+F66</f>
        <v>1140</v>
      </c>
      <c r="H66" s="4" t="s">
        <v>51</v>
      </c>
      <c r="I66">
        <v>2</v>
      </c>
      <c r="J66" s="5">
        <v>475</v>
      </c>
      <c r="K66" s="6"/>
      <c r="L66" s="5"/>
      <c r="N66">
        <f t="shared" si="6"/>
        <v>2025</v>
      </c>
      <c r="O66">
        <f t="shared" si="7"/>
        <v>11</v>
      </c>
    </row>
    <row r="67" ht="14.25">
      <c r="A67" s="20">
        <v>46018</v>
      </c>
      <c r="B67" s="15" t="s">
        <v>64</v>
      </c>
      <c r="C67" s="15" t="s">
        <v>62</v>
      </c>
      <c r="D67" s="2"/>
      <c r="E67" s="3">
        <f>I67*J67</f>
        <v>9720</v>
      </c>
      <c r="F67" s="3">
        <f>0.2*E67</f>
        <v>1944</v>
      </c>
      <c r="G67" s="3">
        <f>E67+F67</f>
        <v>11664</v>
      </c>
      <c r="H67" s="4" t="s">
        <v>51</v>
      </c>
      <c r="I67">
        <v>18</v>
      </c>
      <c r="J67" s="16">
        <v>540</v>
      </c>
      <c r="K67" s="6"/>
      <c r="L67" s="5"/>
      <c r="N67">
        <f t="shared" si="6"/>
        <v>2025</v>
      </c>
      <c r="O67">
        <f t="shared" si="7"/>
        <v>12</v>
      </c>
    </row>
    <row r="68" ht="14.25">
      <c r="A68" s="17">
        <v>46021</v>
      </c>
      <c r="B68" s="1" t="s">
        <v>63</v>
      </c>
      <c r="C68" s="15" t="s">
        <v>13</v>
      </c>
      <c r="D68" s="2"/>
      <c r="E68" s="3">
        <f>I68*J68</f>
        <v>7700</v>
      </c>
      <c r="F68" s="3">
        <f>0.2*E68</f>
        <v>1540</v>
      </c>
      <c r="G68" s="3">
        <f>E68+F68</f>
        <v>9240</v>
      </c>
      <c r="H68" s="22" t="s">
        <v>52</v>
      </c>
      <c r="I68">
        <v>14</v>
      </c>
      <c r="J68" s="16">
        <v>550</v>
      </c>
      <c r="K68" s="6"/>
      <c r="L68" s="5"/>
      <c r="N68">
        <f t="shared" si="6"/>
        <v>2025</v>
      </c>
      <c r="O68">
        <f t="shared" si="7"/>
        <v>12</v>
      </c>
    </row>
    <row r="69" ht="14.25">
      <c r="A69" s="14"/>
      <c r="B69" s="1"/>
      <c r="C69" s="1"/>
      <c r="D69" s="2"/>
      <c r="E69" s="3"/>
      <c r="F69" s="3"/>
      <c r="G69" s="3"/>
      <c r="H69" s="4"/>
      <c r="I69">
        <v>0</v>
      </c>
      <c r="J69" s="16">
        <v>0</v>
      </c>
      <c r="K69" s="6"/>
      <c r="L69" s="5"/>
      <c r="N69">
        <f t="shared" si="6"/>
        <v>1900</v>
      </c>
      <c r="O69">
        <f t="shared" si="7"/>
        <v>1</v>
      </c>
    </row>
    <row r="70" ht="14.25">
      <c r="A70" s="20"/>
      <c r="B70" s="15"/>
      <c r="C70" s="15"/>
      <c r="D70" s="19"/>
      <c r="E70" s="3"/>
      <c r="F70" s="3"/>
      <c r="G70" s="3"/>
      <c r="H70" s="4"/>
      <c r="I70">
        <v>0</v>
      </c>
      <c r="J70" s="16">
        <v>0</v>
      </c>
      <c r="K70" s="6"/>
      <c r="L70" s="5"/>
      <c r="N70">
        <f t="shared" si="6"/>
        <v>1900</v>
      </c>
      <c r="O70">
        <f t="shared" si="7"/>
        <v>1</v>
      </c>
    </row>
    <row r="71" ht="14.25">
      <c r="A71" s="14"/>
      <c r="B71" s="1"/>
      <c r="C71" s="1"/>
      <c r="D71" s="2"/>
      <c r="E71" s="3"/>
      <c r="F71" s="3"/>
      <c r="G71" s="3"/>
      <c r="H71" s="4"/>
      <c r="I71">
        <v>0</v>
      </c>
      <c r="J71" s="16">
        <v>0</v>
      </c>
      <c r="K71" s="6"/>
      <c r="L71" s="5"/>
      <c r="N71">
        <f t="shared" si="6"/>
        <v>1900</v>
      </c>
      <c r="O71">
        <f t="shared" si="7"/>
        <v>1</v>
      </c>
    </row>
    <row r="72" ht="14.25">
      <c r="A72" s="14"/>
      <c r="B72" s="1"/>
      <c r="C72" s="1"/>
      <c r="D72" s="2"/>
      <c r="E72" s="3"/>
      <c r="F72" s="3"/>
      <c r="G72" s="3"/>
      <c r="H72" s="4"/>
      <c r="I72">
        <v>0</v>
      </c>
      <c r="J72" s="16">
        <v>0</v>
      </c>
      <c r="K72" s="6"/>
      <c r="L72" s="5"/>
      <c r="N72">
        <f t="shared" si="6"/>
        <v>1900</v>
      </c>
      <c r="O72">
        <f t="shared" si="7"/>
        <v>1</v>
      </c>
    </row>
    <row r="73" ht="14.25">
      <c r="A73" s="14"/>
      <c r="B73" s="1"/>
      <c r="C73" s="1"/>
      <c r="D73" s="2"/>
      <c r="E73" s="3"/>
      <c r="F73" s="3"/>
      <c r="G73" s="3"/>
      <c r="H73" s="4"/>
      <c r="I73">
        <v>0</v>
      </c>
      <c r="J73" s="16">
        <v>0</v>
      </c>
      <c r="K73" s="6"/>
      <c r="L73" s="5"/>
      <c r="N73">
        <f t="shared" si="6"/>
        <v>1900</v>
      </c>
      <c r="O73">
        <f t="shared" si="7"/>
        <v>1</v>
      </c>
    </row>
    <row r="74" ht="14.25">
      <c r="A74" s="14"/>
      <c r="B74" s="1"/>
      <c r="C74" s="1"/>
      <c r="D74" s="2"/>
      <c r="E74" s="3"/>
      <c r="F74" s="3"/>
      <c r="G74" s="3"/>
      <c r="H74" s="4"/>
      <c r="I74">
        <v>0</v>
      </c>
      <c r="J74" s="16">
        <v>0</v>
      </c>
      <c r="K74" s="6"/>
      <c r="L74" s="5"/>
      <c r="N74">
        <f t="shared" ref="N74:N113" si="8">YEAR(A74)</f>
        <v>1900</v>
      </c>
      <c r="O74">
        <f t="shared" ref="O74:O113" si="9">MONTH(A74)</f>
        <v>1</v>
      </c>
    </row>
    <row r="75" ht="14.25">
      <c r="A75" s="20"/>
      <c r="B75" s="15"/>
      <c r="C75" s="15"/>
      <c r="D75" s="19"/>
      <c r="E75" s="3"/>
      <c r="F75" s="3"/>
      <c r="G75" s="3"/>
      <c r="H75" s="4"/>
      <c r="I75">
        <v>0</v>
      </c>
      <c r="J75" s="16">
        <v>0</v>
      </c>
      <c r="K75" s="6"/>
      <c r="L75" s="5"/>
      <c r="N75">
        <f t="shared" si="8"/>
        <v>1900</v>
      </c>
      <c r="O75">
        <f t="shared" si="9"/>
        <v>1</v>
      </c>
    </row>
    <row r="76" ht="14.25">
      <c r="A76" s="14"/>
      <c r="B76" s="1"/>
      <c r="C76" s="1"/>
      <c r="D76" s="2"/>
      <c r="E76" s="3"/>
      <c r="F76" s="3"/>
      <c r="G76" s="3"/>
      <c r="H76" s="4"/>
      <c r="I76">
        <v>0</v>
      </c>
      <c r="J76" s="16">
        <v>0</v>
      </c>
      <c r="K76" s="6"/>
      <c r="L76" s="5"/>
      <c r="N76">
        <f t="shared" si="8"/>
        <v>1900</v>
      </c>
      <c r="O76">
        <f t="shared" si="9"/>
        <v>1</v>
      </c>
    </row>
    <row r="77" ht="14.25">
      <c r="A77" s="14"/>
      <c r="B77" s="1"/>
      <c r="C77" s="15"/>
      <c r="D77" s="2"/>
      <c r="E77" s="3"/>
      <c r="F77" s="3"/>
      <c r="G77" s="3"/>
      <c r="H77" s="4"/>
      <c r="I77">
        <v>0</v>
      </c>
      <c r="J77" s="16">
        <v>0</v>
      </c>
      <c r="K77" s="6"/>
      <c r="L77" s="5"/>
      <c r="N77">
        <f t="shared" si="8"/>
        <v>1900</v>
      </c>
      <c r="O77">
        <f t="shared" si="9"/>
        <v>1</v>
      </c>
    </row>
    <row r="78" ht="14.25">
      <c r="A78" s="14"/>
      <c r="B78" s="1"/>
      <c r="C78" s="1"/>
      <c r="D78" s="2"/>
      <c r="E78" s="3"/>
      <c r="F78" s="3"/>
      <c r="G78" s="3"/>
      <c r="H78" s="4"/>
      <c r="I78">
        <v>0</v>
      </c>
      <c r="J78" s="16">
        <v>0</v>
      </c>
      <c r="K78" s="6"/>
      <c r="L78" s="5"/>
      <c r="N78">
        <f t="shared" si="8"/>
        <v>1900</v>
      </c>
      <c r="O78">
        <f t="shared" si="9"/>
        <v>1</v>
      </c>
    </row>
    <row r="79" ht="14.25">
      <c r="A79" s="14"/>
      <c r="B79" s="1"/>
      <c r="C79" s="15"/>
      <c r="D79" s="2"/>
      <c r="E79" s="3"/>
      <c r="F79" s="3"/>
      <c r="G79" s="3"/>
      <c r="H79" s="4"/>
      <c r="I79">
        <v>0</v>
      </c>
      <c r="J79" s="16">
        <v>0</v>
      </c>
      <c r="K79" s="6"/>
      <c r="L79" s="5"/>
      <c r="N79">
        <f t="shared" si="8"/>
        <v>1900</v>
      </c>
      <c r="O79">
        <f t="shared" si="9"/>
        <v>1</v>
      </c>
    </row>
    <row r="80" ht="14.25">
      <c r="A80" s="14"/>
      <c r="B80" s="1"/>
      <c r="C80" s="1"/>
      <c r="D80" s="2"/>
      <c r="E80" s="3"/>
      <c r="F80" s="3"/>
      <c r="G80" s="3"/>
      <c r="H80" s="4"/>
      <c r="I80">
        <v>0</v>
      </c>
      <c r="J80" s="16">
        <v>0</v>
      </c>
      <c r="K80" s="6"/>
      <c r="L80" s="5"/>
      <c r="N80">
        <f t="shared" si="8"/>
        <v>1900</v>
      </c>
      <c r="O80">
        <f t="shared" si="9"/>
        <v>1</v>
      </c>
    </row>
    <row r="81" ht="14.25">
      <c r="A81" s="14"/>
      <c r="B81" s="15"/>
      <c r="C81" s="15"/>
      <c r="D81" s="2"/>
      <c r="E81" s="3"/>
      <c r="F81" s="3"/>
      <c r="G81" s="3"/>
      <c r="H81" s="4"/>
      <c r="I81">
        <v>0</v>
      </c>
      <c r="J81" s="16">
        <v>0</v>
      </c>
      <c r="K81" s="6"/>
      <c r="L81" s="5"/>
      <c r="N81">
        <f t="shared" si="8"/>
        <v>1900</v>
      </c>
      <c r="O81">
        <f t="shared" si="9"/>
        <v>1</v>
      </c>
    </row>
    <row r="82" ht="14.25">
      <c r="A82" s="20"/>
      <c r="B82" s="1"/>
      <c r="C82" s="15"/>
      <c r="D82" s="2"/>
      <c r="E82" s="3"/>
      <c r="F82" s="3"/>
      <c r="G82" s="3"/>
      <c r="H82" s="4"/>
      <c r="I82">
        <v>0</v>
      </c>
      <c r="J82" s="16">
        <v>0</v>
      </c>
      <c r="K82" s="6"/>
      <c r="L82" s="5"/>
      <c r="N82">
        <f t="shared" si="8"/>
        <v>1900</v>
      </c>
      <c r="O82">
        <f t="shared" si="9"/>
        <v>1</v>
      </c>
    </row>
    <row r="83" ht="14.25">
      <c r="A83" s="20"/>
      <c r="B83" s="15"/>
      <c r="C83" s="15"/>
      <c r="D83" s="2"/>
      <c r="E83" s="3"/>
      <c r="F83" s="3"/>
      <c r="G83" s="3"/>
      <c r="H83" s="4"/>
      <c r="I83">
        <v>0</v>
      </c>
      <c r="J83" s="16">
        <v>0</v>
      </c>
      <c r="K83" s="6"/>
      <c r="L83" s="5"/>
      <c r="N83">
        <f t="shared" si="8"/>
        <v>1900</v>
      </c>
      <c r="O83">
        <f t="shared" si="9"/>
        <v>1</v>
      </c>
    </row>
    <row r="84" ht="14.25">
      <c r="A84" s="1"/>
      <c r="B84" s="1"/>
      <c r="C84" s="1"/>
      <c r="D84" s="2"/>
      <c r="E84" s="3"/>
      <c r="F84" s="3"/>
      <c r="G84" s="3"/>
      <c r="H84" s="4"/>
      <c r="J84" s="5"/>
      <c r="K84" s="6"/>
      <c r="L84" s="5"/>
      <c r="N84">
        <f t="shared" si="8"/>
        <v>1900</v>
      </c>
      <c r="O84">
        <f t="shared" si="9"/>
        <v>1</v>
      </c>
    </row>
    <row r="85" ht="14.25">
      <c r="L85" s="5"/>
      <c r="N85">
        <f t="shared" si="8"/>
        <v>1900</v>
      </c>
      <c r="O85">
        <f t="shared" si="9"/>
        <v>1</v>
      </c>
    </row>
    <row r="86" ht="14.25">
      <c r="L86" s="5"/>
      <c r="N86">
        <f t="shared" si="8"/>
        <v>1900</v>
      </c>
      <c r="O86">
        <f t="shared" si="9"/>
        <v>1</v>
      </c>
    </row>
    <row r="87" ht="14.25">
      <c r="L87" s="5"/>
      <c r="N87">
        <f t="shared" si="8"/>
        <v>1900</v>
      </c>
      <c r="O87">
        <f t="shared" si="9"/>
        <v>1</v>
      </c>
    </row>
    <row r="88" ht="14.25">
      <c r="L88" s="5"/>
      <c r="N88">
        <f t="shared" si="8"/>
        <v>1900</v>
      </c>
      <c r="O88">
        <f t="shared" si="9"/>
        <v>1</v>
      </c>
    </row>
    <row r="89" ht="14.25">
      <c r="L89" s="5"/>
      <c r="N89">
        <f t="shared" si="8"/>
        <v>1900</v>
      </c>
      <c r="O89">
        <f t="shared" si="9"/>
        <v>1</v>
      </c>
    </row>
    <row r="90" ht="14.25">
      <c r="N90">
        <f t="shared" si="8"/>
        <v>1900</v>
      </c>
      <c r="O90">
        <f t="shared" si="9"/>
        <v>1</v>
      </c>
    </row>
    <row r="91" ht="14.25">
      <c r="N91">
        <f t="shared" si="8"/>
        <v>1900</v>
      </c>
      <c r="O91">
        <f t="shared" si="9"/>
        <v>1</v>
      </c>
    </row>
    <row r="92" ht="14.25">
      <c r="N92">
        <f t="shared" si="8"/>
        <v>1900</v>
      </c>
      <c r="O92">
        <f t="shared" si="9"/>
        <v>1</v>
      </c>
    </row>
    <row r="93" ht="14.25">
      <c r="N93">
        <f t="shared" si="8"/>
        <v>1900</v>
      </c>
      <c r="O93">
        <f t="shared" si="9"/>
        <v>1</v>
      </c>
    </row>
    <row r="94" ht="14.25">
      <c r="N94">
        <f t="shared" si="8"/>
        <v>1900</v>
      </c>
      <c r="O94">
        <f t="shared" si="9"/>
        <v>1</v>
      </c>
    </row>
    <row r="95" ht="14.25">
      <c r="N95">
        <f t="shared" si="8"/>
        <v>1900</v>
      </c>
      <c r="O95">
        <f t="shared" si="9"/>
        <v>1</v>
      </c>
    </row>
    <row r="96" ht="14.25">
      <c r="N96">
        <f t="shared" si="8"/>
        <v>1900</v>
      </c>
      <c r="O96">
        <f t="shared" si="9"/>
        <v>1</v>
      </c>
    </row>
    <row r="97" ht="14.25">
      <c r="N97">
        <f t="shared" si="8"/>
        <v>1900</v>
      </c>
      <c r="O97">
        <f t="shared" si="9"/>
        <v>1</v>
      </c>
    </row>
    <row r="98" ht="14.25">
      <c r="N98">
        <f t="shared" si="8"/>
        <v>1900</v>
      </c>
      <c r="O98">
        <f t="shared" si="9"/>
        <v>1</v>
      </c>
    </row>
    <row r="99" ht="14.25">
      <c r="N99">
        <f t="shared" si="8"/>
        <v>1900</v>
      </c>
      <c r="O99">
        <f t="shared" si="9"/>
        <v>1</v>
      </c>
    </row>
    <row r="100" ht="14.25">
      <c r="N100">
        <f t="shared" si="8"/>
        <v>1900</v>
      </c>
      <c r="O100">
        <f t="shared" si="9"/>
        <v>1</v>
      </c>
    </row>
    <row r="101" ht="14.25">
      <c r="N101">
        <f t="shared" si="8"/>
        <v>1900</v>
      </c>
      <c r="O101">
        <f t="shared" si="9"/>
        <v>1</v>
      </c>
    </row>
    <row r="102" ht="14.25">
      <c r="N102">
        <f t="shared" si="8"/>
        <v>1900</v>
      </c>
      <c r="O102">
        <f t="shared" si="9"/>
        <v>1</v>
      </c>
    </row>
    <row r="103" ht="14.25">
      <c r="N103">
        <f t="shared" si="8"/>
        <v>1900</v>
      </c>
      <c r="O103">
        <f t="shared" si="9"/>
        <v>1</v>
      </c>
    </row>
    <row r="104" ht="14.25">
      <c r="N104">
        <f t="shared" si="8"/>
        <v>1900</v>
      </c>
      <c r="O104">
        <f t="shared" si="9"/>
        <v>1</v>
      </c>
    </row>
    <row r="105" ht="14.25">
      <c r="N105">
        <f t="shared" si="8"/>
        <v>1900</v>
      </c>
      <c r="O105">
        <f t="shared" si="9"/>
        <v>1</v>
      </c>
    </row>
    <row r="106" ht="14.25">
      <c r="N106">
        <f t="shared" si="8"/>
        <v>1900</v>
      </c>
      <c r="O106">
        <f t="shared" si="9"/>
        <v>1</v>
      </c>
    </row>
    <row r="107" ht="14.25">
      <c r="N107">
        <f t="shared" si="8"/>
        <v>1900</v>
      </c>
      <c r="O107">
        <f t="shared" si="9"/>
        <v>1</v>
      </c>
    </row>
    <row r="108" ht="14.25">
      <c r="N108">
        <f t="shared" si="8"/>
        <v>1900</v>
      </c>
      <c r="O108">
        <f t="shared" si="9"/>
        <v>1</v>
      </c>
    </row>
    <row r="109" ht="14.25">
      <c r="N109">
        <f t="shared" si="8"/>
        <v>1900</v>
      </c>
      <c r="O109">
        <f t="shared" si="9"/>
        <v>1</v>
      </c>
    </row>
    <row r="110" ht="14.25">
      <c r="N110">
        <f t="shared" si="8"/>
        <v>1900</v>
      </c>
      <c r="O110">
        <f t="shared" si="9"/>
        <v>1</v>
      </c>
    </row>
    <row r="111" ht="14.25">
      <c r="N111">
        <f t="shared" si="8"/>
        <v>1900</v>
      </c>
      <c r="O111">
        <f t="shared" si="9"/>
        <v>1</v>
      </c>
    </row>
    <row r="112" ht="14.25">
      <c r="N112">
        <f t="shared" si="8"/>
        <v>1900</v>
      </c>
      <c r="O112">
        <f t="shared" si="9"/>
        <v>1</v>
      </c>
    </row>
    <row r="113" ht="14.25">
      <c r="N113">
        <f t="shared" si="8"/>
        <v>1900</v>
      </c>
      <c r="O113">
        <f t="shared" si="9"/>
        <v>1</v>
      </c>
    </row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68" ht="14.25">
      <c r="F168" s="3"/>
    </row>
    <row r="170" ht="14.25">
      <c r="G170" s="3"/>
    </row>
    <row r="171" ht="14.25">
      <c r="G171" s="3"/>
    </row>
  </sheetData>
  <autoFilter ref="A1:L158">
    <filterColumn colId="0"/>
    <sortState ref="A1:A158">
      <sortCondition descending="0" ref="A1:A158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97" operator="containsText" text="non" id="{003B004B-003F-40F8-8685-00F700CE00B1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697" operator="containsText" text="non" id="{00AC00A6-0012-42F7-9413-008800350068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7" operator="containsText" text="non" id="{00D900D1-005A-4093-A1BE-0051003F004F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7" operator="containsText" text="non" id="{00F90042-00F1-4E48-ADBD-00CC00DC0007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7" operator="containsText" text="non" id="{00E100F2-007F-4579-B597-0033003900BF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7" operator="containsText" text="non" id="{00DB0058-004D-418C-83DA-00A7007A00B4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7" operator="containsText" text="non" id="{000B00F9-00D1-4004-B082-000000A9008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7" operator="containsText" text="non" id="{007500EE-0027-45B6-8C37-00E400C500AD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697" operator="containsText" text="non" id="{005500BB-001F-44A0-9761-002C00210060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697" operator="containsText" text="non" id="{003C0001-0059-43AF-BBCB-000100620099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697" operator="containsText" text="non" id="{007F0012-0054-4AD2-944E-005B00010003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7" operator="containsText" text="non" id="{007E0046-0062-431D-9A6D-007400F6001A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7" operator="containsText" text="non" id="{002B0079-0012-4D91-9574-005700720084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7" operator="containsText" text="non" id="{00D70060-0052-41D4-ADFC-0051007A0074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697" operator="containsText" text="non" id="{002A00A6-00F0-4610-849D-00DE00BB0054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697" operator="containsText" text="non" id="{00010082-0040-427D-A1BC-00FA001A00E6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697" operator="containsText" text="non" id="{0060006F-009F-4AEC-9524-002500D900B3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697" operator="containsText" text="non" id="{006700C4-00E4-4B13-B64D-008400C00019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697" operator="containsText" text="non" id="{007900DA-0033-4192-A8C0-008D00A200A0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7" operator="containsText" text="non" id="{00C800CC-00FF-4E15-8F4C-007D00D4004E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7" operator="containsText" text="non" id="{00AA0025-007C-4590-951F-000C00F100D8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7" operator="containsText" text="non" id="{002E00B6-005C-4B8E-A084-009700A9003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7" operator="containsText" text="non" id="{00C5000A-00B8-4A77-9A20-00DE004400FE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697" operator="containsText" text="non" id="{005E0069-005C-4B86-B905-00900087008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H57</xm:sqref>
        </x14:conditionalFormatting>
        <x14:conditionalFormatting xmlns:xm="http://schemas.microsoft.com/office/excel/2006/main">
          <x14:cfRule type="containsText" priority="697" operator="containsText" text="non" id="{002E0088-0048-4DF2-858C-00230076004E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697" operator="containsText" text="non" id="{007A00AD-0034-487C-860B-007E002000F1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697" operator="containsText" text="non" id="{00D000B5-0015-4A43-AE8E-000B008B0078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697" operator="containsText" text="non" id="{00F00081-00DB-4DA2-90EF-00710046009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697" operator="containsText" text="non" id="{00DD0071-0057-49EC-BC6E-00CF00A40051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697" operator="containsText" text="non" id="{009C006E-000A-4924-AAEB-005D00EF0077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697" operator="containsText" text="non" id="{002B00A9-0042-458F-9A80-008C00790096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696" operator="containsText" text="prev" id="{0047001B-00CF-4CF6-9A44-004E001B0088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696" operator="containsText" text="prev" id="{00B9003C-00FB-4841-B3A6-008A00EA0073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6" operator="containsText" text="prev" id="{003A00AB-001A-46A4-8F43-00AC009900EB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6" operator="containsText" text="prev" id="{0002004E-00BD-477A-8E82-001300380094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6" operator="containsText" text="prev" id="{00DE0015-0047-416B-B80E-002C009C00D8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6" operator="containsText" text="prev" id="{0085002C-007A-449A-9D64-003D009F003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6" operator="containsText" text="prev" id="{008700F1-0040-40F3-8F15-009400D80013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6" operator="containsText" text="prev" id="{009A00F4-00F8-43C2-B171-00AA00050078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696" operator="containsText" text="prev" id="{009900DF-007D-4268-9A2D-006800200095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696" operator="containsText" text="prev" id="{00AA003C-0038-4296-865F-000C001C001C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696" operator="containsText" text="prev" id="{0088008B-0053-4010-A73B-006100D0001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6" operator="containsText" text="prev" id="{00C200B4-006E-452D-B3C0-007A00350058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6" operator="containsText" text="prev" id="{00B50090-00A2-4099-966C-00C3001C008F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6" operator="containsText" text="prev" id="{00E600FF-00A7-44D5-9AD4-006B009D00BE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696" operator="containsText" text="prev" id="{000B0011-0075-4CB3-ADA6-00EA00600078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696" operator="containsText" text="prev" id="{0089009A-00D9-49FA-891D-0025008B00AA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696" operator="containsText" text="prev" id="{00BE0043-0010-43FF-8CDB-0080005D00F5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696" operator="containsText" text="prev" id="{00CE0069-0012-4856-83F8-001300AF00AD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696" operator="containsText" text="prev" id="{00740031-0068-4FC9-B5E1-005700540072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6" operator="containsText" text="prev" id="{00260076-00E6-4A30-9CC1-004C005700F3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6" operator="containsText" text="prev" id="{00B40001-00F8-4707-A9AF-00B400F60044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6" operator="containsText" text="prev" id="{009900CC-00A1-4C26-BF92-0037001400A7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6" operator="containsText" text="prev" id="{007E0032-00F0-4C8B-BB37-00BF002300F5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696" operator="containsText" text="prev" id="{00A9009E-00E2-4665-B4A0-006C007E0047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H57</xm:sqref>
        </x14:conditionalFormatting>
        <x14:conditionalFormatting xmlns:xm="http://schemas.microsoft.com/office/excel/2006/main">
          <x14:cfRule type="containsText" priority="696" operator="containsText" text="prev" id="{00F10094-00EE-404A-A754-00EC005200D9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696" operator="containsText" text="prev" id="{006200C2-00BB-496D-8F6C-00EF00CC0002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696" operator="containsText" text="prev" id="{00B900E7-0053-4C71-8297-0020008100DE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696" operator="containsText" text="prev" id="{000F00DF-00CF-4336-BC24-0031005300D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696" operator="containsText" text="prev" id="{00BC005D-0083-40BA-9621-00EF00CC002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696" operator="containsText" text="prev" id="{00E5001E-00A7-4307-A598-00E5004C004F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696" operator="containsText" text="prev" id="{00630053-0036-4F92-BED1-004E003F0028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695" operator="containsText" text="oui" id="{007400CE-0079-4F53-B8DB-009A00840089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695" operator="containsText" text="oui" id="{009000BC-003E-4D41-A8F9-00E000BD0045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5" operator="containsText" text="oui" id="{00710077-006B-4149-9C88-004D00A1008A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5" operator="containsText" text="oui" id="{008500A0-005E-43FC-AB31-000B00C600AA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5" operator="containsText" text="oui" id="{00F900AA-0013-42B3-B335-0045003A00E2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5" operator="containsText" text="oui" id="{005300A2-00B4-4BC8-83DB-00F8008A00D1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5" operator="containsText" text="oui" id="{00050010-005C-445B-9B94-00E500EF0056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5" operator="containsText" text="oui" id="{005D00A4-00E2-477A-8BBE-0042001C0022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695" operator="containsText" text="oui" id="{00CD00C8-003C-4EFC-810F-009200E9001C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695" operator="containsText" text="oui" id="{00CB00E2-0082-4A75-B976-00DF00C100C7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695" operator="containsText" text="oui" id="{004600D2-007B-4124-B724-006A00C70071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5" operator="containsText" text="oui" id="{0012006E-0009-47F6-A904-006500140097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5" operator="containsText" text="oui" id="{000400BC-00AA-4E3D-9EEC-00E1000100F2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5" operator="containsText" text="oui" id="{008F00AC-0076-4F1D-B76D-0094009B006B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695" operator="containsText" text="oui" id="{002800A8-002D-4B91-8024-005B0016003E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695" operator="containsText" text="oui" id="{00080049-00A8-4216-A006-003A000D0041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695" operator="containsText" text="oui" id="{004000EB-00B3-4AD5-9E14-00F7002B00A9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695" operator="containsText" text="oui" id="{003400FB-00CC-40F6-A2D1-0020007F004E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695" operator="containsText" text="oui" id="{00C5009D-003E-4B84-A1EC-0096005600E3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5" operator="containsText" text="oui" id="{0029006B-0046-497F-9484-00FD00D7004C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5" operator="containsText" text="oui" id="{00630086-00FB-4715-8AEF-001000620071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5" operator="containsText" text="oui" id="{005600A5-00CA-4F73-9473-00CF00A7007B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5" operator="containsText" text="oui" id="{00C5006A-0068-4879-A44E-00CB003B0021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695" operator="containsText" text="oui" id="{001F00E7-0093-48AE-A38A-00280067003F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H57</xm:sqref>
        </x14:conditionalFormatting>
        <x14:conditionalFormatting xmlns:xm="http://schemas.microsoft.com/office/excel/2006/main">
          <x14:cfRule type="containsText" priority="695" operator="containsText" text="oui" id="{006E006D-00EC-4EF3-B994-006600F700F5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695" operator="containsText" text="oui" id="{0028005D-0084-4007-A8DB-00DF003D0093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695" operator="containsText" text="oui" id="{00CF00FE-0038-4B90-B8CC-00CD002800BF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695" operator="containsText" text="oui" id="{00AE006D-0075-49B9-AAFF-008E0026009F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695" operator="containsText" text="oui" id="{005300CE-0025-43BF-AD7A-00B800D3006D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695" operator="containsText" text="oui" id="{00F00092-00B7-4E31-9940-005A00AD0062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695" operator="containsText" text="oui" id="{00370040-0026-4298-B284-0028006000E0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663" operator="containsText" text="obj" id="{00B000B3-00F2-4543-90C8-008500CE004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653" operator="containsText" text="obj" id="{00F300D7-00DE-4091-9BF2-0010006B00C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H20:H21</xm:sqref>
        </x14:conditionalFormatting>
        <x14:conditionalFormatting xmlns:xm="http://schemas.microsoft.com/office/excel/2006/main">
          <x14:cfRule type="containsText" priority="653" operator="containsText" text="obj" id="{00C900AC-00F0-41E9-9EAE-005D0031008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653" operator="containsText" text="obj" id="{0048001F-0079-43FB-B652-003900D5005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H27 H28 H29 H30 H30 H30 H31 H31 H32 H33</xm:sqref>
        </x14:conditionalFormatting>
        <x14:conditionalFormatting xmlns:xm="http://schemas.microsoft.com/office/excel/2006/main">
          <x14:cfRule type="containsText" priority="653" operator="containsText" text="obj" id="{005B003B-0001-4296-838F-004D00A4004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653" operator="containsText" text="obj" id="{00B600F1-00B7-412A-9162-00E0004C006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containsText" priority="653" operator="containsText" text="obj" id="{008E009B-001F-443E-AFF7-0072004E00E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653" operator="containsText" text="obj" id="{00950037-0096-454E-8F31-007600D400F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653" operator="containsText" text="obj" id="{00F2002C-005C-4F86-9184-00200085003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H66</xm:sqref>
        </x14:conditionalFormatting>
        <x14:conditionalFormatting xmlns:xm="http://schemas.microsoft.com/office/excel/2006/main">
          <x14:cfRule type="containsText" priority="653" operator="containsText" text="obj" id="{00AD0088-00E1-4FC4-8458-00F0000C00A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647" operator="containsText" text="obj" id="{000E00FC-001A-421A-A65C-007F00FB002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643" operator="containsText" text="obj" id="{004300D2-0035-4E09-8BFF-00FD007300E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642" operator="containsText" text="obj" id="{00F60032-0041-4A4E-AABA-001400F200B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641" operator="containsText" text="obj" id="{003300BE-0051-4003-8613-00C90022004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610" operator="containsText" text="non" id="{00460074-009D-4557-94FE-00A1003D004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592" operator="containsText" text="non" id="{0061005D-0054-4BA7-B091-00820072001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H20:H21</xm:sqref>
        </x14:conditionalFormatting>
        <x14:conditionalFormatting xmlns:xm="http://schemas.microsoft.com/office/excel/2006/main">
          <x14:cfRule type="containsText" priority="592" operator="containsText" text="non" id="{0000008C-00D3-4BB2-816A-00A10071004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592" operator="containsText" text="non" id="{00F3002C-00D0-40A6-99FD-0011005500F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H27 H28 H29 H30 H30 H30 H31 H31 H32 H33</xm:sqref>
        </x14:conditionalFormatting>
        <x14:conditionalFormatting xmlns:xm="http://schemas.microsoft.com/office/excel/2006/main">
          <x14:cfRule type="containsText" priority="592" operator="containsText" text="non" id="{007B00AB-00CE-4E6B-80BC-005900CD000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592" operator="containsText" text="non" id="{00C90048-00F2-4882-BA95-0095002D004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containsText" priority="592" operator="containsText" text="non" id="{00B20016-00EA-49BC-B5EF-005E00E9006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592" operator="containsText" text="non" id="{000500D9-00D8-41F7-B238-00AC0027003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592" operator="containsText" text="non" id="{0040008C-0015-4C00-B9BC-006A003200A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H66</xm:sqref>
        </x14:conditionalFormatting>
        <x14:conditionalFormatting xmlns:xm="http://schemas.microsoft.com/office/excel/2006/main">
          <x14:cfRule type="containsText" priority="592" operator="containsText" text="non" id="{0077008D-006F-4513-BC6A-00270021004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577" operator="containsText" text="non" id="{001600C7-00A3-4CD6-9A06-008D00EC005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569" operator="containsText" text="non" id="{00F200C7-00D5-464C-B978-00FC007300C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567" operator="containsText" text="non" id="{00880048-008F-4346-883B-00030031000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563" operator="containsText" text="non" id="{0038003B-00DA-4DDF-BC3F-004D007000B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518" operator="containsText" text="non" id="{003600B3-0014-406B-8C05-004D00C800C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518" operator="containsText" text="non" id="{008B00C6-00BF-4484-91AB-00F800AF008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518" operator="containsText" text="non" id="{000900BE-00DC-4E58-8D2C-009300C900F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517" operator="containsText" text="non" id="{00AC0063-0009-46E6-AB6C-00CE000B004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517" operator="containsText" text="non" id="{004D0073-00FC-49C5-B558-004900B000D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517" operator="containsText" text="non" id="{001A00BB-00E7-462A-A2D9-0021006B00A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517" operator="containsText" text="non" id="{00760012-000F-472A-9740-0050004E00B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517" operator="containsText" text="non" id="{00BB00AD-0005-4CE9-B3DA-00A200E0001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517" operator="containsText" text="non" id="{009E00C8-006C-41F3-B365-00F900F600B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517" operator="containsText" text="non" id="{0080001D-0089-4ED0-B7D0-00CE00E900D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517" operator="containsText" text="non" id="{00970078-009A-427C-8483-0088006D00D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517" operator="containsText" text="non" id="{00D6001F-0044-4120-B20B-0097001A007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517" operator="containsText" text="non" id="{005D00CC-0019-4F85-AB17-00510018003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517" operator="containsText" text="non" id="{00FB0052-007C-4723-99C2-005F009A000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517" operator="containsText" text="non" id="{00EF00FD-0075-4D75-A64F-00FD00DA00E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517" operator="containsText" text="non" id="{00140086-0073-4DD9-90C7-00530095009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517" operator="containsText" text="non" id="{00F2006D-000F-4DF0-8F96-004200D7008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517" operator="containsText" text="non" id="{003300C8-0016-4749-9A8B-00C400CD00A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517" operator="containsText" text="non" id="{00CA0055-0097-4F3A-BEC3-009A00C500F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517" operator="containsText" text="non" id="{00A7001A-0000-431B-A02A-007A00A8002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517" operator="containsText" text="non" id="{001500B9-0025-426C-A00A-00B7005D00D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517" operator="containsText" text="non" id="{0084006F-00AA-4093-8CA6-00E2007D00F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516" operator="containsText" text="non" id="{00CD0074-003E-43A0-96DD-00E90009006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 H36</xm:sqref>
        </x14:conditionalFormatting>
        <x14:conditionalFormatting xmlns:xm="http://schemas.microsoft.com/office/excel/2006/main">
          <x14:cfRule type="containsText" priority="516" operator="containsText" text="non" id="{00C700A9-00ED-45EF-8FAE-00D300EF00E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516" operator="containsText" text="non" id="{007800CC-0048-4D86-8687-008E0061004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516" operator="containsText" text="non" id="{00C800DD-0022-4E59-896E-00B300AE00C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516" operator="containsText" text="non" id="{00EC0099-00E7-4305-BFAC-007200C6002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516" operator="containsText" text="non" id="{00A4008C-0098-4C59-A0C2-00EE006C00D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516" operator="containsText" text="non" id="{002800F7-0026-4663-990A-005A001B00F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516" operator="containsText" text="non" id="{00F800F6-005E-44CD-86CC-008100AA00D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516" operator="containsText" text="non" id="{00260016-005D-4B50-9BBF-00C40069002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516" operator="containsText" text="non" id="{009500C7-0078-429C-878C-00EB000400C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516" operator="containsText" text="non" id="{001D001E-000B-4C48-9A66-00140021009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516" operator="containsText" text="non" id="{0023007B-0041-41FE-95C4-004B00A000B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516" operator="containsText" text="non" id="{00670020-0063-489D-9316-004D004000A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516" operator="containsText" text="non" id="{0017009A-0051-4D84-B5A3-008A000C006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516" operator="containsText" text="non" id="{007000D7-002B-41BA-BEE7-000D00AE007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516" operator="containsText" text="non" id="{000E00ED-006E-4564-9F18-00F3002200C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516" operator="containsText" text="non" id="{000600B3-0029-469E-A328-0009003B00A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516" operator="containsText" text="non" id="{000000D0-00A5-468E-BBAE-000B003D003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516" operator="containsText" text="non" id="{00D4007D-0092-4209-BCC6-00BB00DD005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516" operator="containsText" text="non" id="{008D0027-008C-46DF-B3F7-009E007000B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516" operator="containsText" text="non" id="{008F006C-008C-455A-9853-00D9003000C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516" operator="containsText" text="non" id="{006F0058-0019-491C-A3B6-0049007700C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516" operator="containsText" text="non" id="{005A00D4-00FA-42A5-B62B-007D001300F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504" operator="containsText" text="non" id="{00C600D7-009B-40FF-9FAC-00730073006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H21 H11 H14 H18</xm:sqref>
        </x14:conditionalFormatting>
        <x14:conditionalFormatting xmlns:xm="http://schemas.microsoft.com/office/excel/2006/main">
          <x14:cfRule type="containsText" priority="504" operator="containsText" text="non" id="{000700B5-0097-4A3D-BE6B-002B00B100C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504" operator="containsText" text="non" id="{000E009A-00B6-4E17-A08B-005E00FE000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504" operator="containsText" text="non" id="{007C00C9-00E3-4E11-957C-000E001700C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504" operator="containsText" text="non" id="{00A3001B-009E-4FD8-B0F3-00C6003D005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504" operator="containsText" text="non" id="{00EC0093-007E-45DE-A80E-00C90046004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503" operator="containsText" text="non" id="{007200A2-00B1-4DA8-A60B-001700F2007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H2:H8 H21 H11 H14 H18</xm:sqref>
        </x14:conditionalFormatting>
        <x14:conditionalFormatting xmlns:xm="http://schemas.microsoft.com/office/excel/2006/main">
          <x14:cfRule type="containsText" priority="503" operator="containsText" text="non" id="{00E90056-00AA-4393-A44E-00E100B000C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503" operator="containsText" text="non" id="{00090063-0059-43BA-9973-003E001C00E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503" operator="containsText" text="non" id="{0026006A-0029-45AA-B29D-0096002C00A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503" operator="containsText" text="non" id="{00FA0036-005B-4232-BEE8-00B90081001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503" operator="containsText" text="non" id="{00A90089-002A-41C1-871A-00D40017000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503" operator="containsText" text="non" id="{00C1000A-00CB-4921-A542-006800C7004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503" operator="containsText" text="non" id="{00E500C7-00A9-4CCA-B408-003F00A000F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503" operator="containsText" text="non" id="{00E80058-00DF-40DC-B109-00A90081002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503" operator="containsText" text="non" id="{009C0061-0011-4856-8985-0088002C00F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503" operator="containsText" text="non" id="{008C00BA-00A8-4895-8048-009D00C900D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503" operator="containsText" text="non" id="{00CE00F8-00F5-48A3-8308-002E00F9004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503" operator="containsText" text="non" id="{0077003B-0083-4C81-9664-002B00A1007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503" operator="containsText" text="non" id="{00AD00A2-0090-43D4-866A-002F00C300A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503" operator="containsText" text="non" id="{0030007B-0061-41E7-A30E-00A6003F005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503" operator="containsText" text="non" id="{001500CB-003A-4E9F-8AF7-004200A9005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503" operator="containsText" text="non" id="{002A00D4-00A4-467A-A113-006800F700D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503" operator="containsText" text="non" id="{00EE00E9-00D1-4D94-A94A-002F0004006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503" operator="containsText" text="non" id="{004B0028-0059-4AF0-A230-00DD008F001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503" operator="containsText" text="non" id="{008100B7-0014-4EA5-8E5A-0048006B000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503" operator="containsText" text="non" id="{002B00AF-00B3-42C3-B229-00DE001F000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503" operator="containsText" text="non" id="{00C1003A-0050-4AB0-8240-006700DF00B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503" operator="containsText" text="non" id="{0073001B-00E2-4E70-8067-00BA001700D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503" operator="containsText" text="non" id="{00820074-00CB-4877-A506-00140063004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503" operator="containsText" text="non" id="{00BD00D9-00B7-4506-B231-0008005300E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503" operator="containsText" text="non" id="{00700008-0042-4090-8DF5-00080040009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503" operator="containsText" text="non" id="{00F2003D-005B-40A5-9C94-004000C2005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502" operator="containsText" text="non" id="{000800B8-005A-421D-BF8C-00E5005200B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491" operator="containsText" text="non" id="{000E0070-0090-4578-A1AD-00B700C000A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475" operator="containsText" text="non" id="{001500D1-005E-4EBB-99A4-0055007800D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472" operator="containsText" text="non" id="{002B00B8-001D-4B6C-B171-00DF0011002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464" operator="containsText" text="non" id="{00A40095-0019-4AF7-9816-0061009D006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464" operator="containsText" text="non" id="{00AD0060-00C7-43DC-879F-0057004C00D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464" operator="containsText" text="non" id="{00340010-00E0-4414-B694-000F00B6004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449" operator="containsText" text="prev" id="{007B0089-00B2-450C-8888-00FA00EF00F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431" operator="containsText" text="prev" id="{00DE00EB-009D-4204-836E-000800EA004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H20:H21</xm:sqref>
        </x14:conditionalFormatting>
        <x14:conditionalFormatting xmlns:xm="http://schemas.microsoft.com/office/excel/2006/main">
          <x14:cfRule type="containsText" priority="431" operator="containsText" text="prev" id="{004A0073-0090-490A-9A0B-0030004300E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431" operator="containsText" text="prev" id="{0054008F-0055-4A62-AF54-00450082004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H27 H28 H29 H30 H30 H30 H31 H31 H32 H33</xm:sqref>
        </x14:conditionalFormatting>
        <x14:conditionalFormatting xmlns:xm="http://schemas.microsoft.com/office/excel/2006/main">
          <x14:cfRule type="containsText" priority="431" operator="containsText" text="prev" id="{008A00CD-003C-473B-8AE8-00B30089004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431" operator="containsText" text="prev" id="{005B0009-00BD-4472-BBA2-00D100D5002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containsText" priority="431" operator="containsText" text="prev" id="{00100055-0093-49C9-B56E-00200039000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431" operator="containsText" text="prev" id="{003500CC-00F9-49F0-9047-006A009A001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431" operator="containsText" text="prev" id="{00E30048-0053-43BC-B10D-0086007F008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H66</xm:sqref>
        </x14:conditionalFormatting>
        <x14:conditionalFormatting xmlns:xm="http://schemas.microsoft.com/office/excel/2006/main">
          <x14:cfRule type="containsText" priority="431" operator="containsText" text="prev" id="{00D600F5-0017-40D6-BB2E-000E0019002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416" operator="containsText" text="prev" id="{00BF0029-0036-4DA9-8304-00E10016005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408" operator="containsText" text="prev" id="{001000F5-0003-428D-A764-0037009400D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406" operator="containsText" text="prev" id="{00F80022-0015-41CF-BC6F-00CD007C008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402" operator="containsText" text="prev" id="{009700DC-0088-4B47-9EF8-00920030002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356" operator="containsText" text="prev" id="{00C30006-00DA-4FF3-9687-00B000BD009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356" operator="containsText" text="prev" id="{00C4000B-0079-4041-B880-0084003D006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356" operator="containsText" text="prev" id="{001D00BD-0025-46EE-BEC5-000300D900F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355" operator="containsText" text="prev" id="{00750033-00FF-42D7-BD1B-0023004F005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355" operator="containsText" text="prev" id="{002B0072-00C3-4ABD-A759-00BD00E300B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355" operator="containsText" text="prev" id="{00650006-0032-4C70-BE6B-002700F6000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55" operator="containsText" text="prev" id="{00830017-00E7-452E-B853-002A0009000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355" operator="containsText" text="prev" id="{00F50084-0052-4339-AC5A-001F003A003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355" operator="containsText" text="prev" id="{0005001E-0017-4504-A2B2-00A40041003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355" operator="containsText" text="prev" id="{008300E3-004D-4D78-B512-00470045000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355" operator="containsText" text="prev" id="{002C0007-0095-4EF5-A7E8-007D000D005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355" operator="containsText" text="prev" id="{00AE00FE-00BE-4B78-B526-003A002600C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355" operator="containsText" text="prev" id="{00C70009-00BF-4ABA-A5A5-00A100A300F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355" operator="containsText" text="prev" id="{00F50000-0028-419E-92F1-00450051000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355" operator="containsText" text="prev" id="{00E20056-0081-4113-8F0D-0079007E003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355" operator="containsText" text="prev" id="{004F00CE-00EA-444F-97A1-00EB009100A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355" operator="containsText" text="prev" id="{0033000E-005C-4F2E-AFE2-0053006F008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355" operator="containsText" text="prev" id="{00B10041-00B1-4A7B-8C88-00B0005300A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55" operator="containsText" text="prev" id="{00E30024-0032-4B3B-B91D-00DB00BA002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55" operator="containsText" text="prev" id="{00870061-00D1-4AFA-9CA6-0003001000C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355" operator="containsText" text="prev" id="{00BE00A2-00DC-4E11-913D-00CE00B4004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355" operator="containsText" text="prev" id="{0032005C-004B-4003-A550-000A0052003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354" operator="containsText" text="prev" id="{002D0024-0099-436A-A985-00740038000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H36 H36</xm:sqref>
        </x14:conditionalFormatting>
        <x14:conditionalFormatting xmlns:xm="http://schemas.microsoft.com/office/excel/2006/main">
          <x14:cfRule type="containsText" priority="354" operator="containsText" text="prev" id="{0038002A-00A1-48F8-8301-003F002700A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354" operator="containsText" text="prev" id="{00040025-0049-46D4-BB70-00A700F8005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354" operator="containsText" text="prev" id="{008100D1-000C-407B-8B61-00B0002F009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54" operator="containsText" text="prev" id="{008800DB-00E7-4ADF-A4EF-00C20046004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354" operator="containsText" text="prev" id="{0011003F-0055-46BC-9060-002B001B000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354" operator="containsText" text="prev" id="{00CB0026-009D-412F-86C7-007800E6004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354" operator="containsText" text="prev" id="{002700C8-003B-49E2-969A-006A00D600C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354" operator="containsText" text="prev" id="{008000E8-00B1-4C72-9E7A-00D5008B008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354" operator="containsText" text="prev" id="{00B50099-00C7-4968-BD58-0087001300C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354" operator="containsText" text="prev" id="{007B00A8-00FD-48AE-B8C9-00D7001100A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354" operator="containsText" text="prev" id="{00CF00DC-008B-4E4D-BCB4-00C2001200D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354" operator="containsText" text="prev" id="{002F0008-0018-4E63-B8DB-002F00B2001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354" operator="containsText" text="prev" id="{00040049-0050-4257-8077-00B70090002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354" operator="containsText" text="prev" id="{00F0008B-0089-481D-82D7-00E10020006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354" operator="containsText" text="prev" id="{00EF00B8-0082-4FD9-AC1C-00A6004E009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354" operator="containsText" text="prev" id="{002B00C6-007F-45FF-8277-007700E7003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354" operator="containsText" text="prev" id="{0030006B-0008-41CE-AF9E-00BF007D000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354" operator="containsText" text="prev" id="{00710037-00CC-40D6-B373-0040004C002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54" operator="containsText" text="prev" id="{009400E2-0012-4E5F-B2E7-005A00DD001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54" operator="containsText" text="prev" id="{00E80024-00F2-42D8-B602-002B005900F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354" operator="containsText" text="prev" id="{0015006D-00B9-42EC-8F7C-004E00E3006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354" operator="containsText" text="prev" id="{0094004D-0092-4A7A-82DD-005B00AE000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342" operator="containsText" text="prev" id="{00B40063-0069-4ABA-9774-008700A8006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H21 H11 H14 H18</xm:sqref>
        </x14:conditionalFormatting>
        <x14:conditionalFormatting xmlns:xm="http://schemas.microsoft.com/office/excel/2006/main">
          <x14:cfRule type="containsText" priority="342" operator="containsText" text="prev" id="{00F00082-00D2-4A80-9B35-00AE008E00C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342" operator="containsText" text="prev" id="{009000B7-009B-4A8A-A0BD-002D00D100B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342" operator="containsText" text="prev" id="{00140057-00BA-42A5-AF08-006C0012004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342" operator="containsText" text="prev" id="{000900D1-0046-4347-B4A2-00E300DE006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342" operator="containsText" text="prev" id="{00070045-0026-4251-973A-00A3007F00D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341" operator="containsText" text="prev" id="{00570012-0060-450E-9EB6-00A9007300F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H2:H8 H21 H11 H14 H18</xm:sqref>
        </x14:conditionalFormatting>
        <x14:conditionalFormatting xmlns:xm="http://schemas.microsoft.com/office/excel/2006/main">
          <x14:cfRule type="containsText" priority="341" operator="containsText" text="prev" id="{009A002C-0071-4C38-8B09-001A007E007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341" operator="containsText" text="prev" id="{002B009F-0088-4B56-88F4-00B70010004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341" operator="containsText" text="prev" id="{005F0060-00C6-4268-BA20-00810042000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341" operator="containsText" text="prev" id="{00DD009E-00F3-406A-B77E-00E10009003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341" operator="containsText" text="prev" id="{00780044-0021-4629-AEB1-00F500B8007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341" operator="containsText" text="prev" id="{008A00B3-00AD-4683-B193-000E00FB003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341" operator="containsText" text="prev" id="{003400B8-0043-47FB-BA93-00E3003400F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341" operator="containsText" text="prev" id="{00FD0093-001A-498C-BBEA-007C0099004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341" operator="containsText" text="prev" id="{00DB0075-00EC-40AA-B0E9-00A7008800D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341" operator="containsText" text="prev" id="{002100F5-0017-4B31-995F-0063008300E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341" operator="containsText" text="prev" id="{0068007B-0031-411B-9648-007900D8004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341" operator="containsText" text="prev" id="{00E40054-00B2-4C11-B4D4-001E00F700C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341" operator="containsText" text="prev" id="{00CF00C0-0056-49E7-9BB3-00E100FB003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341" operator="containsText" text="prev" id="{0086002B-002F-443A-8E6F-003A002300D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341" operator="containsText" text="prev" id="{00A1008B-0047-4AD6-B9F9-00CC00A5000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341" operator="containsText" text="prev" id="{00960034-004B-465C-9384-00F700AA003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341" operator="containsText" text="prev" id="{004500FD-003B-4A6B-9908-007B0015004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341" operator="containsText" text="prev" id="{006F001F-007B-4C67-9ADF-004F0037005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341" operator="containsText" text="prev" id="{00710097-001E-4133-9074-009200EB002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341" operator="containsText" text="prev" id="{002100BA-00F6-45DA-AFE0-00C1008F00C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341" operator="containsText" text="prev" id="{00CF00BC-004D-4670-A899-00500035000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341" operator="containsText" text="prev" id="{00A6005B-0087-4886-8BA2-0068000B008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341" operator="containsText" text="prev" id="{00D30017-0034-4B0B-A63A-009D00ED007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341" operator="containsText" text="prev" id="{00DA00BF-00B2-45CE-803F-00F700D800C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341" operator="containsText" text="prev" id="{00E20027-000D-4E5D-92FA-0051000F00E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341" operator="containsText" text="prev" id="{00880045-0029-4816-AD27-00CE008F001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340" operator="containsText" text="prev" id="{00DA00F5-0045-4B17-994C-002E00E2001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339" operator="containsText" text="prev" id="{008600C6-0038-4F9F-8C20-007800ED001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328" operator="containsText" text="prev" id="{003C0086-0005-4824-AC2F-00DE0017004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313" operator="containsText" text="prev" id="{00940033-0021-4D7D-BF99-00DB0054009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311" operator="containsText" text="prev" id="{00C300F5-00AB-4EA6-A180-00B60061000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310" operator="containsText" text="prev" id="{00ED00BE-0075-44A5-BE31-00AF006D009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287" operator="containsText" text="oui" id="{003600ED-0018-40A2-86B9-0091009C008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276" operator="containsText" text="non" id="{00ED007E-0014-40E9-89C9-00E100C8006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I29 I30 I30 I30 I32 I33 I34 I34 I35 I35</xm:sqref>
        </x14:conditionalFormatting>
        <x14:conditionalFormatting xmlns:xm="http://schemas.microsoft.com/office/excel/2006/main">
          <x14:cfRule type="containsText" priority="276" operator="containsText" text="non" id="{007800DE-00FC-45DF-A076-00070034007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I28</xm:sqref>
        </x14:conditionalFormatting>
        <x14:conditionalFormatting xmlns:xm="http://schemas.microsoft.com/office/excel/2006/main">
          <x14:cfRule type="containsText" priority="276" operator="containsText" text="non" id="{009000FC-006D-4103-9E03-00AF008E006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I65</xm:sqref>
        </x14:conditionalFormatting>
        <x14:conditionalFormatting xmlns:xm="http://schemas.microsoft.com/office/excel/2006/main">
          <x14:cfRule type="containsText" priority="274" operator="containsText" text="non" id="{001200E2-002D-4EA6-8FF6-0040008E000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I18</xm:sqref>
        </x14:conditionalFormatting>
        <x14:conditionalFormatting xmlns:xm="http://schemas.microsoft.com/office/excel/2006/main">
          <x14:cfRule type="containsText" priority="274" operator="containsText" text="non" id="{004C00CC-007A-4AD7-8357-00FC00C300F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I17</xm:sqref>
        </x14:conditionalFormatting>
        <x14:conditionalFormatting xmlns:xm="http://schemas.microsoft.com/office/excel/2006/main">
          <x14:cfRule type="containsText" priority="271" operator="containsText" text="non" id="{003A0006-0046-41D0-9F76-006700D400A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269" operator="containsText" text="oui" id="{002D0067-0046-4E23-BE34-004A00B500D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H20:H21</xm:sqref>
        </x14:conditionalFormatting>
        <x14:conditionalFormatting xmlns:xm="http://schemas.microsoft.com/office/excel/2006/main">
          <x14:cfRule type="containsText" priority="269" operator="containsText" text="oui" id="{00CB008D-00BB-4DD5-8592-00D900A800D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269" operator="containsText" text="oui" id="{00B200A3-0077-4604-BFD2-00AB0089007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H27 H28 H29 H30 H30 H30 H31 H31 H32 H33</xm:sqref>
        </x14:conditionalFormatting>
        <x14:conditionalFormatting xmlns:xm="http://schemas.microsoft.com/office/excel/2006/main">
          <x14:cfRule type="containsText" priority="269" operator="containsText" text="oui" id="{00240056-0046-4F50-8BDC-0040000A004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269" operator="containsText" text="oui" id="{00BB004C-0063-42E7-BF88-00FC00A000F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containsText" priority="269" operator="containsText" text="oui" id="{005F00AC-00C3-4CE0-99DC-00360025000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269" operator="containsText" text="oui" id="{001A0003-0059-4ACF-A30C-00B60057004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269" operator="containsText" text="oui" id="{008600D8-008D-428A-BA06-00360043006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H66</xm:sqref>
        </x14:conditionalFormatting>
        <x14:conditionalFormatting xmlns:xm="http://schemas.microsoft.com/office/excel/2006/main">
          <x14:cfRule type="containsText" priority="269" operator="containsText" text="oui" id="{004300D0-00F1-4F38-BC51-00A500D4002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265" operator="containsText" text="non" id="{00150056-00D1-4EC9-A559-00240006001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I36 I35</xm:sqref>
        </x14:conditionalFormatting>
        <x14:conditionalFormatting xmlns:xm="http://schemas.microsoft.com/office/excel/2006/main">
          <x14:cfRule type="containsText" priority="259" operator="containsText" text="non" id="{00C80012-0069-4C65-AEDF-0066000C002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I17 I22 I22 I22:I24 I24</xm:sqref>
        </x14:conditionalFormatting>
        <x14:conditionalFormatting xmlns:xm="http://schemas.microsoft.com/office/excel/2006/main">
          <x14:cfRule type="containsText" priority="259" operator="containsText" text="non" id="{000300BC-0055-4BD5-BF09-007C004800A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259" operator="containsText" text="non" id="{006800A5-00E7-4752-A2AE-00170061002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259" operator="containsText" text="non" id="{00C300CC-00B5-459A-9D38-005F00C900E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I21 I21</xm:sqref>
        </x14:conditionalFormatting>
        <x14:conditionalFormatting xmlns:xm="http://schemas.microsoft.com/office/excel/2006/main">
          <x14:cfRule type="containsText" priority="259" operator="containsText" text="non" id="{004700EE-00CC-439B-B171-00BA003200C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I42 I42</xm:sqref>
        </x14:conditionalFormatting>
        <x14:conditionalFormatting xmlns:xm="http://schemas.microsoft.com/office/excel/2006/main">
          <x14:cfRule type="containsText" priority="259" operator="containsText" text="non" id="{00E900ED-003A-4DC0-9F68-007E006B001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I23 I23 I23</xm:sqref>
        </x14:conditionalFormatting>
        <x14:conditionalFormatting xmlns:xm="http://schemas.microsoft.com/office/excel/2006/main">
          <x14:cfRule type="containsText" priority="259" operator="containsText" text="non" id="{00DA0057-00F0-46EC-9C77-004B0005009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I31 I31</xm:sqref>
        </x14:conditionalFormatting>
        <x14:conditionalFormatting xmlns:xm="http://schemas.microsoft.com/office/excel/2006/main">
          <x14:cfRule type="containsText" priority="256" operator="containsText" text="non" id="{002C0017-005C-456B-B50B-009000B600B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I17 I2 I22 I3 I3 I4 I6 I7 I8 I9 I10 I11 I12 I13 I22 I22:I24 I24</xm:sqref>
        </x14:conditionalFormatting>
        <x14:conditionalFormatting xmlns:xm="http://schemas.microsoft.com/office/excel/2006/main">
          <x14:cfRule type="containsText" priority="256" operator="containsText" text="non" id="{00B30071-0040-4E9E-83EE-005200D1008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256" operator="containsText" text="non" id="{00C50055-008B-4929-ABAF-009D00EF00A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256" operator="containsText" text="non" id="{00490056-000B-4B90-9277-00B400A0009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I21 I21</xm:sqref>
        </x14:conditionalFormatting>
        <x14:conditionalFormatting xmlns:xm="http://schemas.microsoft.com/office/excel/2006/main">
          <x14:cfRule type="containsText" priority="256" operator="containsText" text="non" id="{00D20058-00B4-4143-92D4-009D00E700C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I6</xm:sqref>
        </x14:conditionalFormatting>
        <x14:conditionalFormatting xmlns:xm="http://schemas.microsoft.com/office/excel/2006/main">
          <x14:cfRule type="containsText" priority="256" operator="containsText" text="non" id="{009600D7-006C-4AEA-AF79-00FB00AA008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</xm:sqref>
        </x14:conditionalFormatting>
        <x14:conditionalFormatting xmlns:xm="http://schemas.microsoft.com/office/excel/2006/main">
          <x14:cfRule type="containsText" priority="256" operator="containsText" text="non" id="{008F004A-0056-46FF-87E3-00010074005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I42 I42</xm:sqref>
        </x14:conditionalFormatting>
        <x14:conditionalFormatting xmlns:xm="http://schemas.microsoft.com/office/excel/2006/main">
          <x14:cfRule type="containsText" priority="256" operator="containsText" text="non" id="{00CA00D0-0062-4E09-A9B3-000C00FE00F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I19</xm:sqref>
        </x14:conditionalFormatting>
        <x14:conditionalFormatting xmlns:xm="http://schemas.microsoft.com/office/excel/2006/main">
          <x14:cfRule type="containsText" priority="256" operator="containsText" text="non" id="{00A8005F-004E-4222-8C71-00F6006D004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I23 I23 I23</xm:sqref>
        </x14:conditionalFormatting>
        <x14:conditionalFormatting xmlns:xm="http://schemas.microsoft.com/office/excel/2006/main">
          <x14:cfRule type="containsText" priority="256" operator="containsText" text="non" id="{00220079-00A3-48C7-B950-00CC005A00F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I31 I31</xm:sqref>
        </x14:conditionalFormatting>
        <x14:conditionalFormatting xmlns:xm="http://schemas.microsoft.com/office/excel/2006/main">
          <x14:cfRule type="containsText" priority="254" operator="containsText" text="oui" id="{00C700A6-00F2-4BD1-945F-00A7007A001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246" operator="containsText" text="oui" id="{005E00C4-001E-4115-AB50-004E00B200F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244" operator="containsText" text="oui" id="{00020055-004A-4309-AC0F-00EB00BB008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240" operator="containsText" text="oui" id="{00DC008E-005E-4BC4-8FAE-00E5002100A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228" operator="containsText" text="prev" id="{00180071-0099-4528-867C-00F3003600D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I29 I30 I30 I30 I32 I33 I34 I34 I35 I35</xm:sqref>
        </x14:conditionalFormatting>
        <x14:conditionalFormatting xmlns:xm="http://schemas.microsoft.com/office/excel/2006/main">
          <x14:cfRule type="containsText" priority="228" operator="containsText" text="prev" id="{006800BF-00D7-45DD-B590-001200BF004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I28</xm:sqref>
        </x14:conditionalFormatting>
        <x14:conditionalFormatting xmlns:xm="http://schemas.microsoft.com/office/excel/2006/main">
          <x14:cfRule type="containsText" priority="228" operator="containsText" text="prev" id="{009A009D-006B-46F5-B64B-001600AB009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I65</xm:sqref>
        </x14:conditionalFormatting>
        <x14:conditionalFormatting xmlns:xm="http://schemas.microsoft.com/office/excel/2006/main">
          <x14:cfRule type="containsText" priority="226" operator="containsText" text="prev" id="{00B9002D-0095-4AE0-8A3D-00060082008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I18</xm:sqref>
        </x14:conditionalFormatting>
        <x14:conditionalFormatting xmlns:xm="http://schemas.microsoft.com/office/excel/2006/main">
          <x14:cfRule type="containsText" priority="226" operator="containsText" text="prev" id="{0006000B-00D3-4EBA-9ACD-0062002000C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I17</xm:sqref>
        </x14:conditionalFormatting>
        <x14:conditionalFormatting xmlns:xm="http://schemas.microsoft.com/office/excel/2006/main">
          <x14:cfRule type="containsText" priority="222" operator="containsText" text="prev" id="{008700D8-0026-43F5-A747-0067001E009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216" operator="containsText" text="prev" id="{00E60061-00C0-4559-A5B0-002200EE00D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I36 I35</xm:sqref>
        </x14:conditionalFormatting>
        <x14:conditionalFormatting xmlns:xm="http://schemas.microsoft.com/office/excel/2006/main">
          <x14:cfRule type="containsText" priority="210" operator="containsText" text="prev" id="{00C800DC-0065-43FD-8FAE-00380068004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I17 I22 I22 I22:I24 I24</xm:sqref>
        </x14:conditionalFormatting>
        <x14:conditionalFormatting xmlns:xm="http://schemas.microsoft.com/office/excel/2006/main">
          <x14:cfRule type="containsText" priority="210" operator="containsText" text="prev" id="{00A40046-00C6-4712-8708-00BB003E008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210" operator="containsText" text="prev" id="{00A50060-00EC-41D3-BA8C-001400AD00E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210" operator="containsText" text="prev" id="{0085001A-00CD-4243-A537-006C008300D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I21 I21</xm:sqref>
        </x14:conditionalFormatting>
        <x14:conditionalFormatting xmlns:xm="http://schemas.microsoft.com/office/excel/2006/main">
          <x14:cfRule type="containsText" priority="210" operator="containsText" text="prev" id="{003D00FA-0084-46B7-959A-00A80052003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I42 I42</xm:sqref>
        </x14:conditionalFormatting>
        <x14:conditionalFormatting xmlns:xm="http://schemas.microsoft.com/office/excel/2006/main">
          <x14:cfRule type="containsText" priority="210" operator="containsText" text="prev" id="{00600079-00C3-467C-9E5E-007D00B500C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I23 I23 I23</xm:sqref>
        </x14:conditionalFormatting>
        <x14:conditionalFormatting xmlns:xm="http://schemas.microsoft.com/office/excel/2006/main">
          <x14:cfRule type="containsText" priority="210" operator="containsText" text="prev" id="{005300E9-009A-4C79-AE36-003A008D007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I31 I31</xm:sqref>
        </x14:conditionalFormatting>
        <x14:conditionalFormatting xmlns:xm="http://schemas.microsoft.com/office/excel/2006/main">
          <x14:cfRule type="containsText" priority="207" operator="containsText" text="prev" id="{005800E6-00A1-4722-9ABF-00870055001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I17 I2 I22 I3 I3 I4 I6 I7 I8 I9 I10 I11 I12 I13 I22 I22:I24 I24</xm:sqref>
        </x14:conditionalFormatting>
        <x14:conditionalFormatting xmlns:xm="http://schemas.microsoft.com/office/excel/2006/main">
          <x14:cfRule type="containsText" priority="207" operator="containsText" text="prev" id="{00D600E8-0085-4413-A666-008A008E00F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207" operator="containsText" text="prev" id="{00990017-0024-4429-B576-00AB0065003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207" operator="containsText" text="prev" id="{0009007F-00C6-46EB-BE01-00DD0051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I21 I21</xm:sqref>
        </x14:conditionalFormatting>
        <x14:conditionalFormatting xmlns:xm="http://schemas.microsoft.com/office/excel/2006/main">
          <x14:cfRule type="containsText" priority="207" operator="containsText" text="prev" id="{009A0096-004F-4FA7-BCDF-00690006001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I6</xm:sqref>
        </x14:conditionalFormatting>
        <x14:conditionalFormatting xmlns:xm="http://schemas.microsoft.com/office/excel/2006/main">
          <x14:cfRule type="containsText" priority="207" operator="containsText" text="prev" id="{00E000C7-002C-45A5-AAA9-0044002000D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I2</xm:sqref>
        </x14:conditionalFormatting>
        <x14:conditionalFormatting xmlns:xm="http://schemas.microsoft.com/office/excel/2006/main">
          <x14:cfRule type="containsText" priority="207" operator="containsText" text="prev" id="{00480054-00AD-4496-92B0-00960072009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I42 I42</xm:sqref>
        </x14:conditionalFormatting>
        <x14:conditionalFormatting xmlns:xm="http://schemas.microsoft.com/office/excel/2006/main">
          <x14:cfRule type="containsText" priority="207" operator="containsText" text="prev" id="{001400F3-00F3-49F8-ACD4-0074003200F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I19</xm:sqref>
        </x14:conditionalFormatting>
        <x14:conditionalFormatting xmlns:xm="http://schemas.microsoft.com/office/excel/2006/main">
          <x14:cfRule type="containsText" priority="207" operator="containsText" text="prev" id="{008A003A-00E8-4BAC-B5CD-0052005C00F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I23 I23 I23</xm:sqref>
        </x14:conditionalFormatting>
        <x14:conditionalFormatting xmlns:xm="http://schemas.microsoft.com/office/excel/2006/main">
          <x14:cfRule type="containsText" priority="207" operator="containsText" text="prev" id="{003D008E-0042-4DAB-98D9-007B007E000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I31 I31</xm:sqref>
        </x14:conditionalFormatting>
        <x14:conditionalFormatting xmlns:xm="http://schemas.microsoft.com/office/excel/2006/main">
          <x14:cfRule type="containsText" priority="195" operator="containsText" text="oui" id="{00D00093-004C-4FD2-B79C-00F8002400B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195" operator="containsText" text="oui" id="{00F3008B-00AD-48FA-8370-00BA0007007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95" operator="containsText" text="oui" id="{00CD0040-00CD-4DC5-BEB8-009300DD000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94" operator="containsText" text="oui" id="{00B10033-0009-4FFD-AB9B-007B00BB004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94" operator="containsText" text="oui" id="{00F600D0-008E-4778-83CA-00FB002B002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194" operator="containsText" text="oui" id="{00420082-00F8-4738-85FF-006D008B009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94" operator="containsText" text="oui" id="{002E0068-0038-43E2-B156-00F8001500D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94" operator="containsText" text="oui" id="{001B00A1-0058-4AED-835F-002400E300F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94" operator="containsText" text="oui" id="{00C100F2-00EB-4F2B-A116-001B009D008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94" operator="containsText" text="oui" id="{002D00F1-00D3-4158-9FDA-0050005F007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94" operator="containsText" text="oui" id="{001600F9-0030-4E22-AC79-00C800EA00E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94" operator="containsText" text="oui" id="{00F9001B-00A8-4975-963D-0006001D001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94" operator="containsText" text="oui" id="{00980031-00E6-4C22-AA45-00F40036004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94" operator="containsText" text="oui" id="{003D00CB-0039-4E55-BF38-00470082004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94" operator="containsText" text="oui" id="{00D7005B-0001-47C3-AD5B-00080093002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94" operator="containsText" text="oui" id="{004F008D-00F3-4D0A-8305-00D70062001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4" operator="containsText" text="oui" id="{00AE00E4-00F1-4968-83B3-00BF0082002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94" operator="containsText" text="oui" id="{00870005-0018-4C64-9CAA-004C002B007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94" operator="containsText" text="oui" id="{002E0046-0028-400F-B9AE-00CD000E00A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94" operator="containsText" text="oui" id="{003A00E3-0050-4C10-B5F4-00C3001D008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94" operator="containsText" text="oui" id="{000700E9-0069-4F94-B4A6-008500A300D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94" operator="containsText" text="oui" id="{00F90081-00D4-4C4E-BB18-00CF0036009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93" operator="containsText" text="oui" id="{00010020-00AE-4076-890B-0068004E00E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H36 H36</xm:sqref>
        </x14:conditionalFormatting>
        <x14:conditionalFormatting xmlns:xm="http://schemas.microsoft.com/office/excel/2006/main">
          <x14:cfRule type="containsText" priority="193" operator="containsText" text="oui" id="{00060016-0079-4734-B105-009500E300C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93" operator="containsText" text="oui" id="{009A00B7-002B-4805-BAEE-0041009C001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193" operator="containsText" text="oui" id="{003D00A8-0015-425A-916D-00940086006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93" operator="containsText" text="oui" id="{008B00DA-004F-48BF-9491-002F0011006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93" operator="containsText" text="oui" id="{0005006D-007E-4BE9-97BC-00680070003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93" operator="containsText" text="oui" id="{003B00BA-006C-4BDA-B347-00B500AF001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93" operator="containsText" text="oui" id="{00C60089-0092-4363-9493-00EA004E00F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93" operator="containsText" text="oui" id="{003B00EE-007A-4508-ACCC-00A000B800A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93" operator="containsText" text="oui" id="{00EF00D8-000F-43D5-953B-00A2005600E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93" operator="containsText" text="oui" id="{00EB00D3-00CA-47F9-A45D-000F008D00B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93" operator="containsText" text="oui" id="{00F30042-00C1-4A50-B0F9-003800BD001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93" operator="containsText" text="oui" id="{004700BD-0045-445D-BBEB-005600E2007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93" operator="containsText" text="oui" id="{002D0060-00F3-426E-9204-001B005F009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93" operator="containsText" text="oui" id="{00520066-0099-4539-805F-00C5006F008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93" operator="containsText" text="oui" id="{00D9009A-0010-4F5F-BB90-00CE009E005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93" operator="containsText" text="oui" id="{00D10097-0018-4135-A1A9-005B00F000F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3" operator="containsText" text="oui" id="{00270013-00A1-47A6-9636-004100B2007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93" operator="containsText" text="oui" id="{00C8009C-0007-4471-A9CC-00A100D8001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93" operator="containsText" text="oui" id="{006E00DE-0008-437B-8F4E-006E006A00A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93" operator="containsText" text="oui" id="{00CA00FF-0055-4252-9F90-00BE003A00F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93" operator="containsText" text="oui" id="{00F300D5-00C3-43E2-AAA4-00B00041000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93" operator="containsText" text="oui" id="{002300D5-00DA-467E-AF11-003E0076009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81" operator="containsText" text="oui" id="{0045002E-0007-4C4C-A242-00280043004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 H14 H18 H21</xm:sqref>
        </x14:conditionalFormatting>
        <x14:conditionalFormatting xmlns:xm="http://schemas.microsoft.com/office/excel/2006/main">
          <x14:cfRule type="containsText" priority="181" operator="containsText" text="oui" id="{0049005D-0073-4D41-9D27-007300EC004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81" operator="containsText" text="oui" id="{006C008A-00CC-49D0-9998-00F7000D00B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81" operator="containsText" text="oui" id="{00E700E4-004E-43A2-A3DB-007900C8004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181" operator="containsText" text="oui" id="{00550022-00D5-4414-A74D-00A7000D009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81" operator="containsText" text="oui" id="{00BD004C-0046-4B09-9AE5-00E8009600C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80" operator="containsText" text="oui" id="{00530090-00DD-4710-BE99-00530044005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H2:H8 H11 H14 H18 H21</xm:sqref>
        </x14:conditionalFormatting>
        <x14:conditionalFormatting xmlns:xm="http://schemas.microsoft.com/office/excel/2006/main">
          <x14:cfRule type="containsText" priority="180" operator="containsText" text="oui" id="{00E8002F-00F9-4857-9E49-0014000900A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80" operator="containsText" text="oui" id="{006E006F-00E8-46AC-826A-00C600D7000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80" operator="containsText" text="oui" id="{00F10044-00BD-4F9D-9C77-00710057007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180" operator="containsText" text="oui" id="{001B0065-00A5-4E75-B170-00150098000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180" operator="containsText" text="oui" id="{007900ED-0092-4E73-801B-0063007A00A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180" operator="containsText" text="oui" id="{001A0084-0002-479C-857E-009300B3006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80" operator="containsText" text="oui" id="{00B400E8-00E6-4EB2-A214-00A200F5005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180" operator="containsText" text="oui" id="{0050000F-002B-49A2-BBF3-00C600FD007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80" operator="containsText" text="oui" id="{006E0091-0042-4204-9704-0055007200A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80" operator="containsText" text="oui" id="{008000AC-0008-4526-BB96-0084002400F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180" operator="containsText" text="oui" id="{00B30063-005F-4635-A1FE-0077004E00F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180" operator="containsText" text="oui" id="{00FA004E-00B6-4E55-8D3D-00A70029005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80" operator="containsText" text="oui" id="{00DB009B-00A4-49E5-BEC4-001300A3002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80" operator="containsText" text="oui" id="{0024006F-001A-4E27-BD32-006D001F00C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80" operator="containsText" text="oui" id="{00A10051-0037-4C45-8C85-00D300E6006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80" operator="containsText" text="oui" id="{00D700B0-00ED-48AF-BB3F-009F00F8006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80" operator="containsText" text="oui" id="{00300051-009F-4967-9661-000400C3009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80" operator="containsText" text="oui" id="{00410009-008F-43D9-8CEE-002000BF00B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80" operator="containsText" text="oui" id="{0074005D-0030-4214-894F-00DF00DD007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80" operator="containsText" text="oui" id="{007A00AF-00DA-4EEA-99EB-002A00FC002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180" operator="containsText" text="oui" id="{00110035-0042-4C53-BF78-00F000B3009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80" operator="containsText" text="oui" id="{005A001B-0000-45E4-A6EF-00F70055000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80" operator="containsText" text="oui" id="{00530066-0073-4D2A-B620-001600FA00D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80" operator="containsText" text="oui" id="{000700D4-00D9-496A-BFEE-002A0090006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80" operator="containsText" text="oui" id="{000700F1-0040-4006-8AEC-000B00C4008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80" operator="containsText" text="oui" id="{00C600D4-00FD-4CE9-8BF4-00E100E8009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79" operator="containsText" text="oui" id="{00CD0075-001E-4F5D-8EFF-00B800EA00F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178" operator="containsText" text="oui" id="{0006001F-00FA-4E79-8C1A-0026009F00A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I29 I30 I30 I30 I32 I33 I34 I34 I35 I35</xm:sqref>
        </x14:conditionalFormatting>
        <x14:conditionalFormatting xmlns:xm="http://schemas.microsoft.com/office/excel/2006/main">
          <x14:cfRule type="containsText" priority="178" operator="containsText" text="oui" id="{000000CD-00D7-4B6B-8F65-00E6002A00B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I28</xm:sqref>
        </x14:conditionalFormatting>
        <x14:conditionalFormatting xmlns:xm="http://schemas.microsoft.com/office/excel/2006/main">
          <x14:cfRule type="containsText" priority="178" operator="containsText" text="oui" id="{00A3006F-004F-4AAB-A371-007A00AE00C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I65</xm:sqref>
        </x14:conditionalFormatting>
        <x14:conditionalFormatting xmlns:xm="http://schemas.microsoft.com/office/excel/2006/main">
          <x14:cfRule type="containsText" priority="176" operator="containsText" text="oui" id="{00F30064-003A-4645-9D9F-00C50027003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I18</xm:sqref>
        </x14:conditionalFormatting>
        <x14:conditionalFormatting xmlns:xm="http://schemas.microsoft.com/office/excel/2006/main">
          <x14:cfRule type="containsText" priority="176" operator="containsText" text="oui" id="{00440058-002A-4185-B45B-000B008A00D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I17</xm:sqref>
        </x14:conditionalFormatting>
        <x14:conditionalFormatting xmlns:xm="http://schemas.microsoft.com/office/excel/2006/main">
          <x14:cfRule type="containsText" priority="172" operator="containsText" text="oui" id="{00D600C0-00D6-4F16-B12A-0009003E005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168" operator="containsText" text="oui" id="{00C300D3-00EE-4E8A-84D0-007F003B008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167" operator="containsText" text="oui" id="{00AC004F-00BE-4CD2-8BF7-005A0098001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I35</xm:sqref>
        </x14:conditionalFormatting>
        <x14:conditionalFormatting xmlns:xm="http://schemas.microsoft.com/office/excel/2006/main">
          <x14:cfRule type="containsText" priority="162" operator="containsText" text="oui" id="{00DA0012-0057-4A85-B0BD-00FE005A004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I25</xm:sqref>
        </x14:conditionalFormatting>
        <x14:conditionalFormatting xmlns:xm="http://schemas.microsoft.com/office/excel/2006/main">
          <x14:cfRule type="containsText" priority="161" operator="containsText" text="oui" id="{00770081-005A-46F2-A8E8-009A001B009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I17 I22 I22 I22:I24 I24</xm:sqref>
        </x14:conditionalFormatting>
        <x14:conditionalFormatting xmlns:xm="http://schemas.microsoft.com/office/excel/2006/main">
          <x14:cfRule type="containsText" priority="161" operator="containsText" text="oui" id="{000500E3-007B-42EF-AE55-00A70000009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161" operator="containsText" text="oui" id="{00450092-00AF-47FC-84D8-0060003D001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161" operator="containsText" text="oui" id="{007D0069-0025-44E7-8A05-00130090000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I21 I21</xm:sqref>
        </x14:conditionalFormatting>
        <x14:conditionalFormatting xmlns:xm="http://schemas.microsoft.com/office/excel/2006/main">
          <x14:cfRule type="containsText" priority="161" operator="containsText" text="oui" id="{00F300A9-00AA-415D-9A92-00280003004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I42 I42</xm:sqref>
        </x14:conditionalFormatting>
        <x14:conditionalFormatting xmlns:xm="http://schemas.microsoft.com/office/excel/2006/main">
          <x14:cfRule type="containsText" priority="161" operator="containsText" text="oui" id="{00DF009E-00F5-45CC-85B1-0012005100A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I23 I23 I23</xm:sqref>
        </x14:conditionalFormatting>
        <x14:conditionalFormatting xmlns:xm="http://schemas.microsoft.com/office/excel/2006/main">
          <x14:cfRule type="containsText" priority="161" operator="containsText" text="oui" id="{00B80074-0057-45AE-9497-00C500FF003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I31 I31</xm:sqref>
        </x14:conditionalFormatting>
        <x14:conditionalFormatting xmlns:xm="http://schemas.microsoft.com/office/excel/2006/main">
          <x14:cfRule type="containsText" priority="152" operator="containsText" text="oui" id="{00EC004C-00B0-4DAC-81E4-0047008700E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149" operator="containsText" text="oui" id="{00C90004-00C8-461F-B6E4-001F007500B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141" operator="containsText" text="oui" id="{003F00C5-0001-440C-99B5-00630016001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41" operator="containsText" text="oui" id="{00CA0067-00E2-4AE2-A2AE-006E008A000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41" operator="containsText" text="oui" id="{00130001-00E6-455F-B05C-009900AF006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35" operator="containsText" text="oui" id="{00020043-0028-45E9-B812-00240020005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H1:H2 H3:H8 H11 H14 H18 H21 H34 H35 H36 H83:H158 H168:H1048576 H35 H45 H51</xm:sqref>
        </x14:conditionalFormatting>
        <x14:conditionalFormatting xmlns:xm="http://schemas.microsoft.com/office/excel/2006/main">
          <x14:cfRule type="containsText" priority="135" operator="containsText" text="oui" id="{00A80089-00AD-48A8-A489-00E800A6003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35" operator="containsText" text="oui" id="{004200E3-00BF-48D9-B50A-005700F7003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35" operator="containsText" text="oui" id="{00BE00E0-0059-4C63-9DC0-0057007D006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5" operator="containsText" text="oui" id="{006B0065-007B-4F2C-B76C-00380004007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135" operator="containsText" text="oui" id="{00310072-003F-4BFA-B8F6-00B5004D002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5" operator="containsText" text="oui" id="{00F70052-002E-4889-AA77-004B00CA003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5" operator="containsText" text="oui" id="{007C00CC-00A5-4D03-9E4F-00C400AA00A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5" operator="containsText" text="oui" id="{00A20041-0044-4280-9683-00DF000400A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5" operator="containsText" text="oui" id="{006C00BC-00DE-4A35-8D1D-006C00F6009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35" operator="containsText" text="oui" id="{00E10028-00CE-4A36-9974-007C000700A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35" operator="containsText" text="oui" id="{003B00F8-00BC-4292-A2B0-00F000ED007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35" operator="containsText" text="oui" id="{00AC00E3-0052-4F1B-B6FE-001100D700C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35" operator="containsText" text="oui" id="{00D600EA-00F3-412D-A84F-0037004F004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35" operator="containsText" text="oui" id="{00AD0012-0030-4835-9167-0007006600F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5" operator="containsText" text="oui" id="{008000EA-0021-40BF-A5B7-00290002001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5" operator="containsText" text="oui" id="{009700BF-00A4-464E-8BE6-00C100FC00F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5" operator="containsText" text="oui" id="{00E400F6-0000-45E9-9D4F-001600F600F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5" operator="containsText" text="oui" id="{004B0049-0028-4C2E-9B45-001500FE006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5" operator="containsText" text="oui" id="{008B0069-00E4-4C93-B47D-00FA0072002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35" operator="containsText" text="oui" id="{00C100C6-005D-4BCE-9E94-009E002A00E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35" operator="containsText" text="oui" id="{00440021-00D8-48DD-830D-00E200DC005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35" operator="containsText" text="oui" id="{0089004F-0029-425F-A38D-00E0003700D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35" operator="containsText" text="oui" id="{000E00BB-00DC-4C2E-848D-00730049009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35" operator="containsText" text="oui" id="{000A0097-0004-41B7-B46E-003D0059000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35" operator="containsText" text="oui" id="{00280001-0069-4951-8D47-0047007900E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35" operator="containsText" text="oui" id="{00A70088-007C-430B-B4F5-002C00E100A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35" operator="containsText" text="oui" id="{00DF0002-0091-44D8-A1A2-00D600FB00C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35" operator="containsText" text="oui" id="{002400AC-004B-4343-AFA6-00B4003F00E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5" operator="containsText" text="oui" id="{00FD003E-00E3-435D-B9A2-00E100F400C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5" operator="containsText" text="oui" id="{00AC0076-0084-4BE6-A3D8-00FC006A00C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5" operator="containsText" text="oui" id="{00C90037-00A1-4FDE-960A-009F004D008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5" operator="containsText" text="oui" id="{00FB0048-0018-4237-99D8-006B00EB00E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5" operator="containsText" text="oui" id="{00D10066-004F-420D-AF24-0011002A000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5" operator="containsText" text="oui" id="{0066004C-0017-4DE6-9591-00A1006200B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35" operator="containsText" text="oui" id="{006E000C-00F5-4B8D-B7E0-00BE00EC006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5" operator="containsText" text="oui" id="{009C0013-00DB-4D90-8694-0093007800E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35" operator="containsText" text="oui" id="{002E00E4-006B-4174-8894-00050025000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35" operator="containsText" text="oui" id="{0001001A-001B-489C-84C3-00CF008500C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5" operator="containsText" text="oui" id="{00AF0003-0050-43CE-AE60-004400D8000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35" operator="containsText" text="oui" id="{007700F4-00DA-4272-ADF2-00C7009600C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35" operator="containsText" text="oui" id="{003100A2-006E-4D64-8CF3-008A00F900F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35" operator="containsText" text="oui" id="{00940090-00FF-4F8D-AF9B-00E5007100F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35" operator="containsText" text="oui" id="{00ED0054-002D-4D25-AA67-002900D400D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35" operator="containsText" text="oui" id="{00F500AD-003A-44F6-B018-0046001B00C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35" operator="containsText" text="oui" id="{009800CA-000C-4DA5-9B8B-00690037003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35" operator="containsText" text="oui" id="{0085009F-00B8-4CAE-9558-002700AF007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35" operator="containsText" text="oui" id="{00B9009F-007F-44F5-9A6D-002B00C8008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5" operator="containsText" text="oui" id="{00530086-009B-4F1F-9FE8-00EE00E5009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135" operator="containsText" text="oui" id="{0079000F-00B6-44FC-A1F0-00EC00F000D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135" operator="containsText" text="oui" id="{007B0098-0023-49EF-A080-00840037006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135" operator="containsText" text="oui" id="{00DE009A-00CC-4943-A313-002D00C300E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35" operator="containsText" text="oui" id="{00F60024-00F5-4324-B9EF-006F008800B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135" operator="containsText" text="oui" id="{002B005B-007D-4FC6-81E0-006E001000E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5" operator="containsText" text="oui" id="{00ED001F-00D6-4F02-974D-003E00DF00B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5" operator="containsText" text="oui" id="{00C900BB-0068-4B18-9BC9-00CE004C009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5" operator="containsText" text="oui" id="{0005000B-00BD-461F-81F4-0099002A00F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35" operator="containsText" text="oui" id="{00AB00BE-0041-4AF7-A576-00E6007900C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35" operator="containsText" text="oui" id="{006D0010-006E-4FD3-AE80-004F00FC002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5" operator="containsText" text="oui" id="{0038009B-0005-4447-B572-004A00DE00B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5" operator="containsText" text="oui" id="{00BF0053-0058-40F2-9EA7-004D0034002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5" operator="containsText" text="oui" id="{009C0074-0011-477B-A311-0053003A00D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35" operator="containsText" text="oui" id="{00EB004E-00CE-4E31-A571-00BE00C3000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35" operator="containsText" text="oui" id="{00CC002C-0058-499D-83FF-00BD009800A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5" operator="containsText" text="oui" id="{00A3003E-006E-4CD1-96D7-001A0079008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5" operator="containsText" text="oui" id="{00B100BF-00E1-4AA3-9BAF-006C009100A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5" operator="containsText" text="oui" id="{00F900C1-00E0-404C-93C8-0092007E00A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35" operator="containsText" text="oui" id="{006400E1-0019-4FD7-AA61-00ED007F007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35" operator="containsText" text="oui" id="{00110007-0022-4E69-ABA8-00E300FB009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5" operator="containsText" text="oui" id="{00F90007-00F4-4255-925E-0035007400B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5" operator="containsText" text="oui" id="{00F100B8-0091-4F79-A54B-00CF0099007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35" operator="containsText" text="oui" id="{0052004C-00E7-4DBF-B939-000600A6001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35" operator="containsText" text="oui" id="{0005005E-00BD-4351-B8B6-00B6002F00E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35" operator="containsText" text="oui" id="{00FA0080-0063-4887-BE80-005B0093003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35" operator="containsText" text="oui" id="{00F00067-0071-45E0-A578-00B9004F00F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35" operator="containsText" text="oui" id="{00380029-0024-4055-8EA7-00D8006E001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35" operator="containsText" text="oui" id="{00CE00AA-00E3-469C-A401-008500DF005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5" operator="containsText" text="oui" id="{006500F7-00D4-4968-A4D2-00540005007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5" operator="containsText" text="oui" id="{003900F5-0042-4322-81B2-00DB00B0002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5" operator="containsText" text="oui" id="{0044003E-0039-42F1-AA94-001000CD00B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5" operator="containsText" text="oui" id="{001C0083-0093-47A6-9417-00E900C3001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5" operator="containsText" text="oui" id="{00D00066-0011-4EAC-A34B-001A00D7009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35" operator="containsText" text="oui" id="{0034001D-00C9-4684-A772-00D4004100C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135" operator="containsText" text="oui" id="{008000CC-0079-4067-8C0F-003A002E009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135" operator="containsText" text="oui" id="{00E200FF-00B8-4449-ACEC-003500B5003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35" operator="containsText" text="oui" id="{00ED000B-004A-4E2B-926F-00E30019008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35" operator="containsText" text="oui" id="{00400044-00EE-4AA9-B639-00D100E0008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35" operator="containsText" text="oui" id="{00340004-0093-41F7-9BCC-00C7007E001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35" operator="containsText" text="oui" id="{00800074-0016-43F1-AD8F-00170039004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35" operator="containsText" text="oui" id="{002D0048-00C7-45A1-ADCB-00BC0057003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35" operator="containsText" text="oui" id="{00240091-0080-4407-89B4-003C001900A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35" operator="containsText" text="oui" id="{0035002A-00AC-4AEC-BC6B-00A8005800F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35" operator="containsText" text="oui" id="{00880056-003B-4858-9B01-00C7004100E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135" operator="containsText" text="oui" id="{00810061-002B-43DA-9443-00E30012009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1D006F-0063-4F1E-BE2E-00D2009D004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A800DD-003E-4BC3-BB55-0013001700B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71005F-00D5-41DF-BE50-007E00A4007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B10043-0006-476D-8CDD-00A5004200E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3500DF-006C-4079-80DC-00FD001500A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B000F0-00BA-4830-B464-00DD00F2008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5" operator="containsText" text="oui" id="{002B00AE-00E7-4F43-B7E8-0087006E005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5" operator="containsText" text="oui" id="{00FE0048-002F-445A-8F5F-00EC0054002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5" operator="containsText" text="oui" id="{003600F3-009F-48B2-9DE5-00C00045004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35" operator="containsText" text="oui" id="{00E80072-006D-428A-A4D9-007D00D0009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35" operator="containsText" text="oui" id="{000A004A-00D3-41E1-A69D-002500FA00D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35" operator="containsText" text="oui" id="{00AB0080-00EA-4566-BB2D-00A10037002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35" operator="containsText" text="oui" id="{00720017-005C-4EE0-9B7C-00690041002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135" operator="containsText" text="oui" id="{00DE009E-00A7-4502-AAC5-00350095002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H57</xm:sqref>
        </x14:conditionalFormatting>
        <x14:conditionalFormatting xmlns:xm="http://schemas.microsoft.com/office/excel/2006/main">
          <x14:cfRule type="containsText" priority="135" operator="containsText" text="oui" id="{00BE008D-0048-4097-AC94-00FE00C300A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5" operator="containsText" text="oui" id="{00480091-00C1-4518-BF99-0040002E007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135" operator="containsText" text="oui" id="{00840055-0041-4657-B678-002900FB000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5" operator="containsText" text="oui" id="{00D300B7-00D9-4231-882C-003A008A00D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135" operator="containsText" text="oui" id="{007D00F2-00E2-49FD-AE4C-005500B5009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135" operator="containsText" text="oui" id="{00F50071-00F4-4EF3-A878-00630032001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5" operator="containsText" text="oui" id="{00B200CB-002D-45DC-8C01-00D8009B00E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135" operator="containsText" text="oui" id="{007B00BB-0041-46DE-9C4B-008A000500B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35" operator="containsText" text="oui" id="{00040071-00A0-41F3-915D-00AE001100F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34" operator="containsText" text="prev" id="{00B800BC-009F-43C8-A0FB-002E00D400D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H1:H2 H3:H8 H11 H14 H18 H21 H34 H35 H36 H83:H158 H168:H1048576 H35 H45 H51</xm:sqref>
        </x14:conditionalFormatting>
        <x14:conditionalFormatting xmlns:xm="http://schemas.microsoft.com/office/excel/2006/main">
          <x14:cfRule type="containsText" priority="134" operator="containsText" text="prev" id="{007800C8-00CA-42C1-88D1-00FF0094003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34" operator="containsText" text="prev" id="{008B0029-001C-4D94-BCB8-0060005300C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34" operator="containsText" text="prev" id="{004B0025-00F0-4378-9FA9-007F00D7002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4" operator="containsText" text="prev" id="{002D0044-00CD-43F2-AD8A-0011005300C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134" operator="containsText" text="prev" id="{00DD009A-000C-400D-9B16-00430043006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4" operator="containsText" text="prev" id="{0044007E-00B4-4017-B3E8-008B00FB005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4" operator="containsText" text="prev" id="{00B1004E-0089-4DED-8AA4-006400FD008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4" operator="containsText" text="prev" id="{008F00FC-0082-492D-B709-003E006000D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4" operator="containsText" text="prev" id="{00AA00B0-004C-4E4B-BC32-00B1003F00C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34" operator="containsText" text="prev" id="{007B00A2-001C-43EF-B314-009E003B004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34" operator="containsText" text="prev" id="{006C00B9-00CD-4B90-A148-007E0006001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34" operator="containsText" text="prev" id="{003F00E9-0037-4C79-8FF8-003B00F7002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34" operator="containsText" text="prev" id="{002E006D-00C3-4BE7-AC70-0013009B007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34" operator="containsText" text="prev" id="{00410069-002E-4927-86F6-008C000B00F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4" operator="containsText" text="prev" id="{00E20031-0002-42B5-8045-004900E8003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4" operator="containsText" text="prev" id="{001B00B2-0026-47A4-9AE2-003C006C00F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4" operator="containsText" text="prev" id="{008700D6-004A-4588-8576-00DD00C500C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4" operator="containsText" text="prev" id="{00C400BE-00DF-4790-A1AF-00760062005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4" operator="containsText" text="prev" id="{0002005E-00BA-4609-A4E5-0089000700C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34" operator="containsText" text="prev" id="{008200E5-0027-4CC1-AAF9-0075009B002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34" operator="containsText" text="prev" id="{006300FC-0000-4E0D-A0F2-002A00C300E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34" operator="containsText" text="prev" id="{001900B6-009E-4551-8719-00E00072006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34" operator="containsText" text="prev" id="{002000B2-00F4-43F9-825E-0095003F00A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34" operator="containsText" text="prev" id="{003A00D2-00D0-484E-9E04-00EA0027008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34" operator="containsText" text="prev" id="{005E0003-00AA-4DFC-B086-00AE00FC009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34" operator="containsText" text="prev" id="{00280087-0006-4882-BA55-005000E3001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34" operator="containsText" text="prev" id="{009F005F-0089-4B10-9F0E-00D7001C004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34" operator="containsText" text="prev" id="{00AD0038-00C1-481A-B0E6-00EF004A00B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4" operator="containsText" text="prev" id="{00AE0017-0051-4091-923E-004D00E700B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4" operator="containsText" text="prev" id="{00B400DE-00A3-4D6E-910B-001C0067003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4" operator="containsText" text="prev" id="{00F0006F-0053-473F-86DC-00F300B600B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4" operator="containsText" text="prev" id="{00DE0064-0027-4820-B43E-00EE005F009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4" operator="containsText" text="prev" id="{0037004D-00AF-4102-8358-009700B1000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4" operator="containsText" text="prev" id="{00CC0038-00CC-4A0C-8D3C-00ED0069001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34" operator="containsText" text="prev" id="{001C00B1-000B-4E7F-BFBF-009C002C008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4" operator="containsText" text="prev" id="{00D50069-0037-4DC7-B965-00D300A0006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34" operator="containsText" text="prev" id="{00C60022-00C2-4BAF-BB22-0074000000E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34" operator="containsText" text="prev" id="{005D0004-0083-47DB-9DCB-004A000F002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4" operator="containsText" text="prev" id="{0016004A-00D0-42AB-B2FA-001F00A000A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34" operator="containsText" text="prev" id="{003C000C-000A-4254-9AC8-00A1001D007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34" operator="containsText" text="prev" id="{006E0080-0049-4D43-B0A7-00270081000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34" operator="containsText" text="prev" id="{00FC0092-00AA-4C4D-80E3-00A600CA005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34" operator="containsText" text="prev" id="{00F2000C-0074-4E81-8C8F-002A00B1004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34" operator="containsText" text="prev" id="{00C10022-0036-46B7-B043-002900AD009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34" operator="containsText" text="prev" id="{00EC0068-00FB-4E93-9B5B-007B004900B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34" operator="containsText" text="prev" id="{00040010-00B2-42B9-A72C-0020000F00C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34" operator="containsText" text="prev" id="{004000D7-0006-46AF-8068-00FA003A006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34" operator="containsText" text="prev" id="{00ED002B-0048-4136-8A13-0026000000B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134" operator="containsText" text="prev" id="{00680010-0050-4BA2-8F16-00E700A7009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134" operator="containsText" text="prev" id="{0047001C-008C-4AE3-ADD4-007C0031005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134" operator="containsText" text="prev" id="{00CF00B6-0003-441C-96B5-002C001600C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34" operator="containsText" text="prev" id="{00B50027-0065-4724-80A9-003900DC000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134" operator="containsText" text="prev" id="{00BE0017-00EA-4A5F-A7F0-00DA000F000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4" operator="containsText" text="prev" id="{00E50046-00F3-4D1F-B5F7-00D60093001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4" operator="containsText" text="prev" id="{007800F5-0011-4275-9B47-005B0072000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4" operator="containsText" text="prev" id="{00A000C6-00DA-4394-9442-00B2002F00E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34" operator="containsText" text="prev" id="{00A60006-0065-428B-A1E4-004E00A000E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34" operator="containsText" text="prev" id="{00D900FD-00EB-48CF-B9C6-00A500DC00F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4" operator="containsText" text="prev" id="{0056004B-00F4-4B69-81B8-00FF0058005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4" operator="containsText" text="prev" id="{00C00057-002D-44D7-8D1E-006700FD002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4" operator="containsText" text="prev" id="{000400FF-000E-490B-BF69-000800A600C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34" operator="containsText" text="prev" id="{00EE0093-0018-4990-B034-001B00A500E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34" operator="containsText" text="prev" id="{00AA002F-000B-4087-8476-00C00092007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4" operator="containsText" text="prev" id="{009200A1-00B9-48C4-951B-00620096000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4" operator="containsText" text="prev" id="{00A3006F-00EA-45B8-B23E-00EB00A9005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4" operator="containsText" text="prev" id="{0013000E-00F1-46A3-B4C6-005D008A008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34" operator="containsText" text="prev" id="{00E300B5-001C-43DA-8387-00ED00CE008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34" operator="containsText" text="prev" id="{00300009-0064-4CD0-9305-00C3001700B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4" operator="containsText" text="prev" id="{006E0069-000A-4BDE-99FB-009B00F4000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4" operator="containsText" text="prev" id="{003B004B-009C-4AB7-B4DA-008E00C6009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34" operator="containsText" text="prev" id="{00070027-00FA-4F54-A617-00450038006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34" operator="containsText" text="prev" id="{005D0012-0087-424F-89D8-007E00EB001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34" operator="containsText" text="prev" id="{004B00C8-008C-4AB7-B421-002300AD007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34" operator="containsText" text="prev" id="{005C0045-00CE-49F2-83B3-00830056005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34" operator="containsText" text="prev" id="{00970062-00C8-4085-BB34-00A1008B000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34" operator="containsText" text="prev" id="{00E30060-008B-4768-9DA8-007900E000B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4" operator="containsText" text="prev" id="{0063003A-0005-4110-AC4D-003D0084003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4" operator="containsText" text="prev" id="{009100AA-00B3-408B-9B29-006E00BD005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4" operator="containsText" text="prev" id="{00C7005B-004E-4713-AD78-00EC004B003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4" operator="containsText" text="prev" id="{0097007A-002A-415F-A32A-00CA00D4002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4" operator="containsText" text="prev" id="{00180022-00C0-42BD-A4BA-008600B700A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34" operator="containsText" text="prev" id="{0082009B-0010-4F44-AC48-00660090007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134" operator="containsText" text="prev" id="{00030035-00A1-46D5-92F3-00460087005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134" operator="containsText" text="prev" id="{00D8006B-0014-442A-98EE-009A00FF007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34" operator="containsText" text="prev" id="{003000A1-00BA-43B2-A409-009700F100C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34" operator="containsText" text="prev" id="{00720011-00D4-4217-95C1-00390007004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34" operator="containsText" text="prev" id="{006E0034-0016-4FF9-A308-00E00057005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34" operator="containsText" text="prev" id="{00AD0018-00AE-4EE2-AE19-004300CE001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34" operator="containsText" text="prev" id="{00B40082-00D7-4F69-B578-003600AF00A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34" operator="containsText" text="prev" id="{00EB0067-0053-4D90-B71C-004200BB00D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34" operator="containsText" text="prev" id="{00730012-0050-4E5D-8A12-001C004700A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34" operator="containsText" text="prev" id="{00A400AD-00CA-4604-8C2A-00B20055001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134" operator="containsText" text="prev" id="{00980097-0078-45BA-BBCD-00F600E3007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D800AF-00F4-4F2D-AF21-008D00DA003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39000C-008F-491B-AC05-007C00CB003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03008C-00E6-4889-9831-003900BF00E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2E001D-007E-40FA-9B91-00E7008200C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DB005E-00A0-489F-9100-00F100AA005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4E00BF-0081-4A6A-832F-007400DB006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4" operator="containsText" text="prev" id="{00A900CD-00C3-41DF-A4F1-003700F8004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4" operator="containsText" text="prev" id="{008B006E-004A-4E32-AEC2-002D00B4004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4" operator="containsText" text="prev" id="{006C006F-006F-4A00-B989-0011006000F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34" operator="containsText" text="prev" id="{00A40003-00B2-4564-A48B-00F200E3004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34" operator="containsText" text="prev" id="{00430032-003B-49FD-A663-006E003A00A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34" operator="containsText" text="prev" id="{009F00AC-00F2-4AAA-94D3-0084006000E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34" operator="containsText" text="prev" id="{007700BF-00A2-4E2D-BD6D-003300BD005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134" operator="containsText" text="prev" id="{000E008F-002F-4C63-80FB-002C00B1008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H57</xm:sqref>
        </x14:conditionalFormatting>
        <x14:conditionalFormatting xmlns:xm="http://schemas.microsoft.com/office/excel/2006/main">
          <x14:cfRule type="containsText" priority="134" operator="containsText" text="prev" id="{002700AA-00CA-4E38-BB98-009700FD006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4" operator="containsText" text="prev" id="{00730074-00F5-4220-9456-0048002E002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134" operator="containsText" text="prev" id="{00D00057-0085-404A-98DB-00C600A7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4" operator="containsText" text="prev" id="{001B00A8-0049-46B2-B724-00BA0083003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134" operator="containsText" text="prev" id="{003300A5-002B-4A09-91E2-0081003F004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134" operator="containsText" text="prev" id="{009500ED-007C-42E3-80C2-000800EE005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4" operator="containsText" text="prev" id="{006E003D-00CC-4638-A86D-007500B3002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134" operator="containsText" text="prev" id="{0088001C-00B0-4B41-8003-000800F8004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34" operator="containsText" text="prev" id="{0022002D-00AC-49C9-BDB7-0006009D00F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08" operator="containsText" text="non" id="{00D40012-0089-40B1-9E61-009C0035009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H1:H2 H3:H8 H11 H14 H18 H21 H34 H35 H36 H83:H158 H168:H1048576 H35 H45 H51</xm:sqref>
        </x14:conditionalFormatting>
        <x14:conditionalFormatting xmlns:xm="http://schemas.microsoft.com/office/excel/2006/main">
          <x14:cfRule type="containsText" priority="108" operator="containsText" text="non" id="{00A200E3-007F-4353-8208-00420087003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08" operator="containsText" text="non" id="{008C0041-00BF-4C9C-8EA7-00A300EB007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08" operator="containsText" text="non" id="{008D0048-00B2-48F3-8787-00850047005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08" operator="containsText" text="non" id="{00AB006D-001D-4D6E-A4EC-000A00E500E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108" operator="containsText" text="non" id="{00A6009A-0002-482E-83BF-001F00AF00A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08" operator="containsText" text="non" id="{005A0016-00A0-4EFD-BDD1-005F003E00E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08" operator="containsText" text="non" id="{00350068-00C9-424E-B577-0080009B00E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08" operator="containsText" text="non" id="{003400C7-003B-4590-9F31-00CE007300A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08" operator="containsText" text="non" id="{00D700BE-00C7-42E9-B140-002C00E700E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08" operator="containsText" text="non" id="{00A5005D-0077-4FBD-B4EA-0061001D000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08" operator="containsText" text="non" id="{00540096-00E8-4FA6-8022-008000DD001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08" operator="containsText" text="non" id="{00890020-0038-429F-BDFF-00710064005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08" operator="containsText" text="non" id="{001800E0-0060-4613-B22E-00A2004C001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08" operator="containsText" text="non" id="{00CC00E0-0078-4BB9-BF31-001B0042007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08" operator="containsText" text="non" id="{00A40050-00C4-4049-92CF-002D0060005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08" operator="containsText" text="non" id="{00190051-00B0-4EFA-BDB0-009000C1002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08" operator="containsText" text="non" id="{00D20028-0003-4154-AE5C-002200F300F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08" operator="containsText" text="non" id="{001100CB-00EE-45BB-ABD8-000D0043004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08" operator="containsText" text="non" id="{00E5003C-005D-41BC-8302-000D00F8004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08" operator="containsText" text="non" id="{00780032-00FE-497C-91EA-00AD00CC001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08" operator="containsText" text="non" id="{009D0018-00B1-4A58-9F8C-0088005500F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08" operator="containsText" text="non" id="{006200C1-0066-4213-B6F0-009B002500F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08" operator="containsText" text="non" id="{004A0000-0035-412B-B938-00F900CE005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08" operator="containsText" text="non" id="{009E00F6-0096-49AC-8A87-006300AD000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08" operator="containsText" text="non" id="{002400E0-00FC-482F-B67A-00E4007E00E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08" operator="containsText" text="non" id="{00410097-0095-4EE2-B722-00D4007B002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08" operator="containsText" text="non" id="{00C700D9-005D-44C6-BECE-005C0090006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08" operator="containsText" text="non" id="{00BD0054-003B-40D2-939E-0045003C000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08" operator="containsText" text="non" id="{0056000D-00E0-4A34-972D-0000003800B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08" operator="containsText" text="non" id="{00D9007F-0022-4076-BD27-008B00E1005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08" operator="containsText" text="non" id="{00430040-0040-4A38-AA00-006700DB00B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08" operator="containsText" text="non" id="{0079000D-004E-42C0-B71B-00F90085007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08" operator="containsText" text="non" id="{004A0011-006F-4FEE-AD5C-0062000D008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08" operator="containsText" text="non" id="{0070009F-0007-47BE-BA91-0088009C005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08" operator="containsText" text="non" id="{00C4005E-0029-4047-BB77-00E9000700E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08" operator="containsText" text="non" id="{002C00E7-0021-4BA5-92AC-0014005700A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08" operator="containsText" text="non" id="{000A0066-00F8-4BB9-8C12-00E7004A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08" operator="containsText" text="non" id="{00D800C2-0070-44F5-86AA-00D000EE009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08" operator="containsText" text="non" id="{00820083-0051-47D4-9E5F-00F300AB007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08" operator="containsText" text="non" id="{00E6007A-00D8-40B8-A1B6-00F0009700A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08" operator="containsText" text="non" id="{00ED00E5-0069-4F59-A7F8-00030061002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08" operator="containsText" text="non" id="{009D0025-0001-4826-A319-003F00B6005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08" operator="containsText" text="non" id="{00120004-00DE-4F69-AE14-005B001800A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08" operator="containsText" text="non" id="{00EE0014-00DA-41CC-8C9C-006000F4007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08" operator="containsText" text="non" id="{00D80081-00AF-4380-A49D-00CA0017003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08" operator="containsText" text="non" id="{006E0028-004B-4EC1-B9BB-002600C0006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08" operator="containsText" text="non" id="{00D800DF-00F4-4362-989C-00F00084006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08" operator="containsText" text="non" id="{005400A3-0019-4019-8FF6-0005003F00E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108" operator="containsText" text="non" id="{00820089-0069-411D-A21F-00E8006D003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108" operator="containsText" text="non" id="{005F0059-0036-49FB-A293-000E00AF002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108" operator="containsText" text="non" id="{002600F5-000C-4C3D-A6CF-002C004900B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08" operator="containsText" text="non" id="{004400B9-007E-4A14-9E03-00DB00FA004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108" operator="containsText" text="non" id="{0035008B-007F-470B-B37E-00F500A200E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08" operator="containsText" text="non" id="{008A0088-0079-44D0-AAFA-00200099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08" operator="containsText" text="non" id="{000C0026-009C-45C1-9B1A-00A700B500C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08" operator="containsText" text="non" id="{006C00EF-002B-4880-B7E0-00710001009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08" operator="containsText" text="non" id="{0092000D-0000-4764-A966-007500E500C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08" operator="containsText" text="non" id="{006A00F4-0044-45A7-8918-00BC002D009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08" operator="containsText" text="non" id="{00CF00C7-0091-4638-8486-006A009C00F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08" operator="containsText" text="non" id="{0030007E-006A-4663-9865-007A0038009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08" operator="containsText" text="non" id="{008E0045-0016-4DF4-9666-000900F3004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08" operator="containsText" text="non" id="{003F0055-00EC-4446-9710-00F80001004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08" operator="containsText" text="non" id="{00E30090-00C1-4550-A17F-00FA00BF008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08" operator="containsText" text="non" id="{00C4008D-0074-4E75-B8A1-00F5000B00F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08" operator="containsText" text="non" id="{00F100E9-00BC-43AD-83FD-00770096006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08" operator="containsText" text="non" id="{00560043-0031-4FCE-888D-00DC00E100B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08" operator="containsText" text="non" id="{00F80024-00A8-4AFE-8DDC-0017003D00F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08" operator="containsText" text="non" id="{00F500EC-00E2-498D-ACC5-0055001900B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08" operator="containsText" text="non" id="{00DD0017-003A-491F-AE93-00500063007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08" operator="containsText" text="non" id="{00140040-0025-4324-8131-00E100F3001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08" operator="containsText" text="non" id="{00B20059-0079-41FF-BCC7-00550057006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08" operator="containsText" text="non" id="{00090015-00C6-4490-8EC4-00DA00AE009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08" operator="containsText" text="non" id="{00BB0026-0046-40A0-BE5C-002F0066002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08" operator="containsText" text="non" id="{008F0072-00E5-472D-A33A-00A50008003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08" operator="containsText" text="non" id="{00D400EE-0049-4C41-BBD5-00F000C7003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08" operator="containsText" text="non" id="{00B90091-000A-458F-8ED6-00F400C900F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08" operator="containsText" text="non" id="{004100CB-0028-4607-BFC8-000200C1007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08" operator="containsText" text="non" id="{009200ED-0010-4D55-B2F5-009E0070003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08" operator="containsText" text="non" id="{001E00ED-00BC-4527-8B1E-00CE00DD00D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08" operator="containsText" text="non" id="{005B00CE-0038-46EB-8B59-00A600E1008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08" operator="containsText" text="non" id="{00290041-0037-4DF8-BB97-006B00D000F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08" operator="containsText" text="non" id="{00C8008F-0073-47F0-B1FF-008600E000A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108" operator="containsText" text="non" id="{009F0096-00CE-4F19-8ED7-00E1005D005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108" operator="containsText" text="non" id="{006E00F7-0082-4E75-A2BB-00B4003D00B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08" operator="containsText" text="non" id="{00410073-00B0-4999-AE3C-006E0062005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08" operator="containsText" text="non" id="{00BE0049-00CD-4D6D-A019-003E00FA009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08" operator="containsText" text="non" id="{00A900E2-00CD-4DF9-8B19-0036002A002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08" operator="containsText" text="non" id="{006A00ED-003B-4318-830F-00440096000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08" operator="containsText" text="non" id="{009B0078-0028-4F0B-993F-00B5005B009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08" operator="containsText" text="non" id="{00AD004E-0065-4483-BF80-001C00B6002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08" operator="containsText" text="non" id="{005C0031-00D3-4552-A26D-00F10085008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08" operator="containsText" text="non" id="{004F00ED-00C8-47B1-8EFA-00DB0076006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108" operator="containsText" text="non" id="{00ED00CA-00FF-41CA-AF26-008700A2002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DB00E7-00CB-404B-8CBA-007D00E600B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1500FE-0095-44AB-BFB6-006300D8005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C5000C-0085-4AA1-A34E-009800D9000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4800DE-00BE-4992-9CCB-00F40093002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7700CB-0069-4427-93BB-0082005B00A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CF0002-0018-48C4-A5F6-001A002F004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08" operator="containsText" text="non" id="{00460058-0097-431F-811A-008B009A00F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08" operator="containsText" text="non" id="{00B00005-0016-4E0B-80A9-0037004C002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08" operator="containsText" text="non" id="{00310010-006C-40F0-9269-00A00087007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08" operator="containsText" text="non" id="{0034002E-0020-4842-986E-001E002A009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08" operator="containsText" text="non" id="{007B001F-0020-4951-888F-00C800B900B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08" operator="containsText" text="non" id="{00DE0028-003E-476C-9C69-00380056006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08" operator="containsText" text="non" id="{00CF00E7-0086-4734-8156-007600C800C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108" operator="containsText" text="non" id="{00DF0027-005C-4425-B6B8-002E000500B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H57</xm:sqref>
        </x14:conditionalFormatting>
        <x14:conditionalFormatting xmlns:xm="http://schemas.microsoft.com/office/excel/2006/main">
          <x14:cfRule type="containsText" priority="108" operator="containsText" text="non" id="{007D00E2-00D7-4A10-AE6A-00B800EF001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08" operator="containsText" text="non" id="{001E0078-001D-4059-A7BB-00F5001B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108" operator="containsText" text="non" id="{002600E9-00BC-4E75-98EF-00D400EF00E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08" operator="containsText" text="non" id="{008A00C6-0040-4274-9162-0019001800C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108" operator="containsText" text="non" id="{008400BD-00D4-4456-8A41-00F1007F003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108" operator="containsText" text="non" id="{00B40066-0097-49CF-907E-001F00B200E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08" operator="containsText" text="non" id="{00B80022-00B8-4DF7-BD9F-00CE003B008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108" operator="containsText" text="non" id="{00AB00CF-0066-4E7B-B2BB-009F003B00D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08" operator="containsText" text="non" id="{008300C0-00A8-4A94-B075-00EB00C000E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07" operator="containsText" text="non" id="{00FD00DE-0032-4476-821F-00CB00DF005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 I17 I22 I36 I3 I3 I4 I6 I7 I8 I9 I10 I11 I12 I13 I22 I29 I35 I22:I24 I24:I25 I25 I30 I30 I30 I31 I31 I32 I33 I34 I34 I35 I35</xm:sqref>
        </x14:conditionalFormatting>
        <x14:conditionalFormatting xmlns:xm="http://schemas.microsoft.com/office/excel/2006/main">
          <x14:cfRule type="containsText" priority="107" operator="containsText" text="non" id="{0034001C-001B-4F64-A378-00F900AC006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I28</xm:sqref>
        </x14:conditionalFormatting>
        <x14:conditionalFormatting xmlns:xm="http://schemas.microsoft.com/office/excel/2006/main">
          <x14:cfRule type="containsText" priority="107" operator="containsText" text="non" id="{0007007D-0048-4022-A6AF-007900BC005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107" operator="containsText" text="non" id="{006B0020-0002-4511-85F4-00420068000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107" operator="containsText" text="non" id="{008B0055-0073-431E-9EFE-009500EC00E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I21 I21</xm:sqref>
        </x14:conditionalFormatting>
        <x14:conditionalFormatting xmlns:xm="http://schemas.microsoft.com/office/excel/2006/main">
          <x14:cfRule type="containsText" priority="107" operator="containsText" text="non" id="{00BF00B8-000B-4769-93D2-00EF004E001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I6</xm:sqref>
        </x14:conditionalFormatting>
        <x14:conditionalFormatting xmlns:xm="http://schemas.microsoft.com/office/excel/2006/main">
          <x14:cfRule type="containsText" priority="107" operator="containsText" text="non" id="{008200F0-000D-4C79-A99B-0090003100C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</xm:sqref>
        </x14:conditionalFormatting>
        <x14:conditionalFormatting xmlns:xm="http://schemas.microsoft.com/office/excel/2006/main">
          <x14:cfRule type="containsText" priority="107" operator="containsText" text="non" id="{001700F2-003F-4D35-A2C2-001F0033007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I42 I42</xm:sqref>
        </x14:conditionalFormatting>
        <x14:conditionalFormatting xmlns:xm="http://schemas.microsoft.com/office/excel/2006/main">
          <x14:cfRule type="containsText" priority="107" operator="containsText" text="non" id="{001A00D4-00C4-48FA-9CBA-006F0087002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I19</xm:sqref>
        </x14:conditionalFormatting>
        <x14:conditionalFormatting xmlns:xm="http://schemas.microsoft.com/office/excel/2006/main">
          <x14:cfRule type="containsText" priority="107" operator="containsText" text="non" id="{0096003A-0056-4DCF-B117-009E00C3001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I23 I23 I23</xm:sqref>
        </x14:conditionalFormatting>
        <x14:conditionalFormatting xmlns:xm="http://schemas.microsoft.com/office/excel/2006/main">
          <x14:cfRule type="containsText" priority="107" operator="containsText" text="non" id="{004E0083-0070-4AD8-A5B2-008000CA008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I65</xm:sqref>
        </x14:conditionalFormatting>
        <x14:conditionalFormatting xmlns:xm="http://schemas.microsoft.com/office/excel/2006/main">
          <x14:cfRule type="containsText" priority="107" operator="containsText" text="non" id="{000D00F0-00C7-46E2-81F9-00D500A200A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I31 I31</xm:sqref>
        </x14:conditionalFormatting>
        <x14:conditionalFormatting xmlns:xm="http://schemas.microsoft.com/office/excel/2006/main">
          <x14:cfRule type="containsText" priority="6" operator="containsText" text="non" id="{00350063-002B-4B23-9CD4-0057005F004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 H14 H18 H21</xm:sqref>
        </x14:conditionalFormatting>
        <x14:conditionalFormatting xmlns:xm="http://schemas.microsoft.com/office/excel/2006/main">
          <x14:cfRule type="containsText" priority="6" operator="containsText" text="non" id="{00E00054-00EA-4058-92B3-00B0000100E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6" operator="containsText" text="non" id="{00E800DA-0065-4045-9C24-00E100D400B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6" operator="containsText" text="non" id="{00C600F7-00B1-4977-A1AC-00C100AF000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6" operator="containsText" text="non" id="{00680068-0073-4D79-89BD-000F004E001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6" operator="containsText" text="non" id="{00B700AC-007B-4902-97AA-00260018007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5" operator="containsText" text="non" id="{00FA007D-001E-47F3-A8DD-0043008E004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I17 I22 I22 I22:I24 I24</xm:sqref>
        </x14:conditionalFormatting>
        <x14:conditionalFormatting xmlns:xm="http://schemas.microsoft.com/office/excel/2006/main">
          <x14:cfRule type="containsText" priority="5" operator="containsText" text="non" id="{0000000A-00DB-48F0-97BF-00E4003E00C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5" operator="containsText" text="non" id="{0001000B-009C-4F8D-970B-0034001A002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containsText" priority="5" operator="containsText" text="non" id="{00FC006E-007A-45AC-B194-00CE003100B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I21 I21</xm:sqref>
        </x14:conditionalFormatting>
        <x14:conditionalFormatting xmlns:xm="http://schemas.microsoft.com/office/excel/2006/main">
          <x14:cfRule type="containsText" priority="5" operator="containsText" text="non" id="{009D00F6-000D-47D0-A98A-009000B2000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I42 I42</xm:sqref>
        </x14:conditionalFormatting>
        <x14:conditionalFormatting xmlns:xm="http://schemas.microsoft.com/office/excel/2006/main">
          <x14:cfRule type="containsText" priority="5" operator="containsText" text="non" id="{00DE003C-00EC-45B5-8234-00E200DA004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I23 I23 I23</xm:sqref>
        </x14:conditionalFormatting>
        <x14:conditionalFormatting xmlns:xm="http://schemas.microsoft.com/office/excel/2006/main">
          <x14:cfRule type="containsText" priority="5" operator="containsText" text="non" id="{00C20095-008B-410D-8680-00800070000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I31 I31</xm:sqref>
        </x14:conditionalFormatting>
        <x14:conditionalFormatting xmlns:xm="http://schemas.microsoft.com/office/excel/2006/main">
          <x14:cfRule type="containsText" priority="1" operator="containsText" text="obj" id="{00E60065-00E8-4BDD-A089-0079006300B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H83:H1048576 H1:H15 H17:H27 H34 H35:H37 H35 H45 H51 H28 H29 H30 H30 H30 H31 H31 H32 H33 H38 H17</xm:sqref>
        </x14:conditionalFormatting>
        <x14:conditionalFormatting xmlns:xm="http://schemas.microsoft.com/office/excel/2006/main">
          <x14:cfRule type="containsText" priority="1" operator="containsText" text="obj" id="{004F0007-00D7-4603-9F06-00E100F6009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1" operator="containsText" text="obj" id="{00DC0044-00C8-4DD6-9C36-008B00E900B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H27 H28 H29 H30 H30 H30 H31 H31 H32 H33</xm:sqref>
        </x14:conditionalFormatting>
        <x14:conditionalFormatting xmlns:xm="http://schemas.microsoft.com/office/excel/2006/main">
          <x14:cfRule type="containsText" priority="1" operator="containsText" text="obj" id="{000D0007-0005-4050-A9CA-007000C5003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" operator="containsText" text="obj" id="{0003002B-00DC-4669-8193-00770081006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" operator="containsText" text="obj" id="{00960025-0074-48E4-853A-006D000D00D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" operator="containsText" text="obj" id="{00B10010-0041-4279-B953-00FC00B1005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H37 H38</xm:sqref>
        </x14:conditionalFormatting>
        <x14:conditionalFormatting xmlns:xm="http://schemas.microsoft.com/office/excel/2006/main">
          <x14:cfRule type="containsText" priority="1" operator="containsText" text="obj" id="{00ED0064-00FE-4685-AFE7-00F70080000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" operator="containsText" text="obj" id="{008A00EB-005E-4BB7-B407-003300DB007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" operator="containsText" text="obj" id="{002B00E6-0085-4FCD-B547-00600058006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" operator="containsText" text="obj" id="{00290061-006F-4323-B567-005F00E2003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" operator="containsText" text="obj" id="{00D60063-00E4-4056-A527-0080005800F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" operator="containsText" text="obj" id="{00600000-00AA-43F4-B0A3-00BE009600B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" operator="containsText" text="obj" id="{001C00FA-0096-4DE6-8248-00B00060000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" operator="containsText" text="obj" id="{00B900C5-002D-45C9-B9F1-00CC0059007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H45 H51</xm:sqref>
        </x14:conditionalFormatting>
        <x14:conditionalFormatting xmlns:xm="http://schemas.microsoft.com/office/excel/2006/main">
          <x14:cfRule type="containsText" priority="1" operator="containsText" text="obj" id="{00E800B1-0091-4629-AC98-002E0045008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" operator="containsText" text="obj" id="{001C007C-005F-471A-8081-005F0070002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" operator="containsText" text="obj" id="{003A00C2-00E6-40C2-8AA8-00EC002C00C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" operator="containsText" text="obj" id="{004000C2-009C-45BB-B127-00D6008E004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" operator="containsText" text="obj" id="{00A900F3-00CD-4F82-99F0-001C00F000E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" operator="containsText" text="obj" id="{00720074-0041-4EB2-8AA5-00C50052003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" operator="containsText" text="obj" id="{0086006A-00DA-4C46-8F53-00180060006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" operator="containsText" text="obj" id="{00BE0065-0051-4ADC-B834-008F0040006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" operator="containsText" text="obj" id="{008C006D-00BC-4B4E-895A-00C90081004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" operator="containsText" text="obj" id="{00E20033-0057-4074-81F1-00E30033000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" operator="containsText" text="obj" id="{008E0084-007B-4E25-80E2-0011004B00B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" operator="containsText" text="obj" id="{00A70056-0018-4665-B709-00B3001400B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" operator="containsText" text="obj" id="{00EB0073-00D9-4CDC-889F-006B001F009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" operator="containsText" text="obj" id="{00660062-00DF-4AAE-8D51-00AC0057000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" operator="containsText" text="obj" id="{00AB00DE-00E8-4BEF-851F-00640074002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" operator="containsText" text="obj" id="{00420009-009A-4BA9-9CEB-0044009100F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" operator="containsText" text="obj" id="{005A0081-009D-4D4E-9445-0029007500B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" operator="containsText" text="obj" id="{00360008-003D-490C-98B8-00DA002D00F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" operator="containsText" text="obj" id="{0051004C-0063-4F55-A663-0085006C00B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" operator="containsText" text="obj" id="{00E400DF-00BD-4A2A-8B0B-00B3009000F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" operator="containsText" text="obj" id="{009A00DA-00FB-4FA6-9AEF-007A0009003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" operator="containsText" text="obj" id="{00A2006A-0045-49F1-9A20-003C00B4002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" operator="containsText" text="obj" id="{00480058-008F-4353-A4F7-004300F000B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" operator="containsText" text="obj" id="{00FA002E-00C5-4BC8-B51A-00E5000B001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" operator="containsText" text="obj" id="{00CC000E-0054-46A4-B5D0-007A00A800C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" operator="containsText" text="obj" id="{0041009D-006B-4E8F-9E6B-0001004A000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" operator="containsText" text="obj" id="{008E00F7-009F-486F-B43F-004700E0005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" operator="containsText" text="obj" id="{006F006E-0005-48A1-87B6-00D700DC00A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" operator="containsText" text="obj" id="{0046001E-00F1-463D-A2E1-00E300E800A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" operator="containsText" text="obj" id="{00E6000C-00DD-4D8B-8786-0040001F003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" operator="containsText" text="obj" id="{009E00BA-008C-4DF3-8EBE-0095005400B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" operator="containsText" text="obj" id="{0045007A-0080-4597-9EEA-00120092006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" operator="containsText" text="obj" id="{008B00EB-00B6-424F-9113-0097005D006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" operator="containsText" text="obj" id="{00C70047-0063-4F09-9EE8-0056002C00D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" operator="containsText" text="obj" id="{00D20049-00AE-4569-AD59-00F300DC00B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" operator="containsText" text="obj" id="{0043001D-0056-47DB-9A0B-00DC005B004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1" operator="containsText" text="obj" id="{0040008E-00D4-476A-9DB5-00E900B400B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1" operator="containsText" text="obj" id="{00FE00D1-00E7-4947-85F7-00A000E4000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1" operator="containsText" text="obj" id="{00B200FF-00F2-4172-A850-00A900C400C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" operator="containsText" text="obj" id="{00E6006B-00A7-4232-9B4E-008A00DB004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1" operator="containsText" text="obj" id="{00290006-0077-4429-A197-00E90054005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" operator="containsText" text="obj" id="{005200A1-0004-448E-B760-003300A6005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" operator="containsText" text="obj" id="{008900EE-007E-433C-907F-007F004A00C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" operator="containsText" text="obj" id="{007A0071-001D-471F-B56F-00B10078005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" operator="containsText" text="obj" id="{002D00C4-0046-42D1-B474-0040005A007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H40 H41</xm:sqref>
        </x14:conditionalFormatting>
        <x14:conditionalFormatting xmlns:xm="http://schemas.microsoft.com/office/excel/2006/main">
          <x14:cfRule type="containsText" priority="1" operator="containsText" text="obj" id="{00C500CD-0071-46FC-9A21-00D000F700E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" operator="containsText" text="obj" id="{00230082-00EE-48CA-9A65-0000004C00B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" operator="containsText" text="obj" id="{00C20000-0020-4850-88DE-00AF0033006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" operator="containsText" text="obj" id="{00740079-0020-4587-8CA4-005C0040007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" operator="containsText" text="obj" id="{007700D9-00BC-43BB-9382-00EF0049001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" operator="containsText" text="obj" id="{002E00F5-00F1-4DC8-8963-006F00D9000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" operator="containsText" text="obj" id="{00400037-00B4-48C5-A8D5-00B400A4002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" operator="containsText" text="obj" id="{00CC00EF-0006-4AB4-8FE6-008C009400F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" operator="containsText" text="obj" id="{00A20081-00B9-4B9A-8CA4-00E000DE004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" operator="containsText" text="obj" id="{00070089-006A-40E2-94AC-007400F1009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" operator="containsText" text="obj" id="{00E60013-00B4-4EF1-89B5-007D003D000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" operator="containsText" text="obj" id="{00F500C9-0051-47A6-8AE4-006100A0004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" operator="containsText" text="obj" id="{00F6006C-0081-4263-8364-000000AA002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" operator="containsText" text="obj" id="{0059005C-00DB-4A4B-ADCA-005100E1007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" operator="containsText" text="obj" id="{00D600F0-0040-4C8E-86CB-002D00D9001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" operator="containsText" text="obj" id="{00D2007C-009D-49A2-A194-00D3005100E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" operator="containsText" text="obj" id="{007000A1-0008-4BFD-AECF-009C007C004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" operator="containsText" text="obj" id="{00E6008E-0021-4CCD-878A-00C500F200E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" operator="containsText" text="obj" id="{00DC005F-00E0-41FB-A61E-00F000BB00F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" operator="containsText" text="obj" id="{001700A6-00DE-42D0-9F60-00620033003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" operator="containsText" text="obj" id="{003400C8-0062-4F4A-AE3C-00C10042005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" operator="containsText" text="obj" id="{00A90008-00F6-4BAE-A33C-0068008D005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1" operator="containsText" text="obj" id="{000A0089-0092-44D8-9BC9-003200F800B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1" operator="containsText" text="obj" id="{002400AC-0084-45CA-A7E6-00DE00EB00C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" operator="containsText" text="obj" id="{00250044-0044-48D0-BD2F-007C006D00C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" operator="containsText" text="obj" id="{00550029-0050-4FA3-B2F3-004700AD00D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" operator="containsText" text="obj" id="{00B3002B-008B-4FEE-B6BD-0002005C004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" operator="containsText" text="obj" id="{00530065-00F4-418D-88B1-00480009007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1" operator="containsText" text="obj" id="{00F70056-00A8-4826-93F7-006300E1006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1" operator="containsText" text="obj" id="{0036004D-00A1-4FEE-82E8-0077009E005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" operator="containsText" text="obj" id="{0051009E-0082-4EDA-BBEE-0057004F00F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1" operator="containsText" text="obj" id="{003B006B-00F6-46DA-BB06-009100E6008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" operator="containsText" text="obj" id="{00CC00F5-00C3-4777-BC4E-006D00CF00D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" operator="containsText" text="obj" id="{000B0086-0012-430E-A4E1-00C4006D006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" operator="containsText" text="obj" id="{00EB008D-0094-4060-8EAB-00F600DD006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" operator="containsText" text="obj" id="{00ED008F-006F-4F15-9B95-0004001E007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" operator="containsText" text="obj" id="{00210081-00E0-45C0-838F-00EB00FC003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1" operator="containsText" text="obj" id="{00B90066-00F7-4E58-ACA9-00710046004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containsText" priority="1" operator="containsText" text="obj" id="{006A0020-0082-44F0-B0DD-00F5005C00D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D200A3-004E-4793-9F7D-00BE002400A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BC002C-0009-406E-81E3-0087008E004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680060-007E-4794-9317-0017009D004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790035-00BD-40D8-96F3-009D005600D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8C0046-00D2-4942-9BAD-002F00F400E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26008B-00C3-44D7-9FA7-009700CE006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" operator="containsText" text="obj" id="{00FB005C-002D-4F20-9028-00CD00A2006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" operator="containsText" text="obj" id="{009700D5-00FB-47B6-9F1E-00C600F9008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" operator="containsText" text="obj" id="{003800BE-0052-48D7-B7E3-000C000500E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" operator="containsText" text="obj" id="{0078001D-0092-4618-BB3F-00070055002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" operator="containsText" text="obj" id="{009B0050-00C8-4318-87A7-006C00EA003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" operator="containsText" text="obj" id="{00010010-00CD-4D11-99FF-00F7001600C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" operator="containsText" text="obj" id="{008F00E1-00F0-4D6E-86C4-0032001C00D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1" operator="containsText" text="obj" id="{00AF00D5-00A4-4F7A-B2B6-008600E8004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H57</xm:sqref>
        </x14:conditionalFormatting>
        <x14:conditionalFormatting xmlns:xm="http://schemas.microsoft.com/office/excel/2006/main">
          <x14:cfRule type="containsText" priority="1" operator="containsText" text="obj" id="{00CC0042-0054-4D0A-835A-00040041008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" operator="containsText" text="obj" id="{00D8007C-0054-4A06-80E2-00440039006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1" operator="containsText" text="obj" id="{00E5006E-0063-409F-958D-008200AF007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" operator="containsText" text="obj" id="{00270075-0018-4F98-B881-004200F4004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1" operator="containsText" text="obj" id="{0037002F-000F-41CD-A65F-00CD0079005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1" operator="containsText" text="obj" id="{00390028-002F-4BC8-BCAB-00B30074004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" operator="containsText" text="obj" id="{00590063-0086-4B0D-8F23-001800AA00D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1" operator="containsText" text="obj" id="{0017003A-0095-43BD-9F34-002000A5007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containsText" priority="1" operator="containsText" text="obj" id="{00600014-00AA-4E17-A9C8-007A0007000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containsText" priority="1" operator="containsText" text="obj" id="{00D5001F-00D7-41F6-9F7D-00AF00C7001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" operator="containsText" text="obj" id="{003800E8-00B6-40BD-A61A-00530037008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" operator="containsText" text="obj" id="{00AD0030-0085-409E-A161-004B0008005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" operator="containsText" text="obj" id="{00720003-009D-4C54-8391-008900AA008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H66</xm:sqref>
        </x14:conditionalFormatting>
        <x14:conditionalFormatting xmlns:xm="http://schemas.microsoft.com/office/excel/2006/main">
          <x14:cfRule type="containsText" priority="1" operator="containsText" text="obj" id="{000C0030-0078-418A-86A9-005900B3006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H66</xm:sqref>
        </x14:conditionalFormatting>
        <x14:conditionalFormatting xmlns:xm="http://schemas.microsoft.com/office/excel/2006/main">
          <x14:cfRule type="containsText" priority="1" operator="containsText" text="obj" id="{009400A5-0083-4D39-A0F2-009B008300B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1" operator="containsText" text="obj" id="{000200D7-00DD-4B75-9C4F-00AD00F0008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641" operator="containsText" text="obj" id="{0062004F-00A9-4DFE-A871-00A50060008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563" operator="containsText" text="non" id="{00D000F2-00ED-4620-9CFB-00BD00A8005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402" operator="containsText" text="prev" id="{009D003E-00E3-4111-8ABE-003E008D007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240" operator="containsText" text="oui" id="{0051004B-009E-40C9-92F3-00C700EB00D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1" operator="containsText" text="obj" id="{00F6005F-007C-419A-805B-002D00F100F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5.57421875"/>
    <col bestFit="1" min="3" max="5" width="13.4140625"/>
    <col customWidth="1" min="8" max="8" width="13.7109375"/>
    <col bestFit="1" min="9" max="9" width="19.140625"/>
    <col bestFit="1" min="12" max="12" width="26.00390625"/>
    <col bestFit="1" min="13" max="13" width="12.82421875"/>
    <col bestFit="1" min="14" max="14" width="11.80078125"/>
    <col bestFit="1" min="15" max="15" width="12.28125"/>
    <col bestFit="1" min="16" max="16" width="9.57421875"/>
  </cols>
  <sheetData>
    <row r="2" ht="14.25">
      <c r="B2" s="26"/>
      <c r="C2" s="27" t="s">
        <v>65</v>
      </c>
      <c r="D2" s="27" t="s">
        <v>66</v>
      </c>
      <c r="E2" s="27" t="s">
        <v>67</v>
      </c>
      <c r="L2" s="18"/>
      <c r="M2" s="18" t="s">
        <v>68</v>
      </c>
      <c r="N2" s="28" t="s">
        <v>69</v>
      </c>
      <c r="O2" t="s">
        <v>70</v>
      </c>
    </row>
    <row r="3" ht="14.25">
      <c r="B3" s="27" t="s">
        <v>71</v>
      </c>
      <c r="C3" s="29">
        <f>SUM(C4:C5)</f>
        <v>33667.199999999997</v>
      </c>
      <c r="D3" s="29">
        <f>SUM(D4:D5)</f>
        <v>164062.20000000001</v>
      </c>
      <c r="E3" s="29">
        <f>SUM(E4:E5)</f>
        <v>233892.20000000001</v>
      </c>
      <c r="G3" s="26"/>
      <c r="H3" s="30" t="s">
        <v>72</v>
      </c>
      <c r="I3" s="31" t="s">
        <v>73</v>
      </c>
      <c r="L3" s="32" t="s">
        <v>74</v>
      </c>
      <c r="M3" s="33">
        <f>35000-M6-M5</f>
        <v>18100</v>
      </c>
      <c r="N3" s="33">
        <v>15500</v>
      </c>
      <c r="O3" s="33">
        <v>16000</v>
      </c>
    </row>
    <row r="4" ht="14.25">
      <c r="B4" s="34" t="s">
        <v>75</v>
      </c>
      <c r="C4" s="35">
        <f>SUMIFS('Factures 2025'!E:E,'Factures 2025'!H:H,"oui",'Factures 2025'!N:N,"&lt;2026")+SUMIFS('Factures 2025'!E:E,'Factures 2025'!H:H,"non",'Factures 2025'!N:N,"&lt;2026")</f>
        <v>33667.199999999997</v>
      </c>
      <c r="D4" s="35">
        <f>C4+SUMIFS('Factures 2025'!E:E,'Factures 2025'!H:H,"prev",'Factures 2025'!N:N,"&lt;2026")</f>
        <v>164062.20000000001</v>
      </c>
      <c r="E4" s="35">
        <f>D4+SUMIFS('Factures 2025'!E:E,'Factures 2025'!H:H,"prosp",'Factures 2025'!N:N,"&lt;2026")</f>
        <v>233892.20000000001</v>
      </c>
      <c r="G4" s="30" t="s">
        <v>17</v>
      </c>
      <c r="H4" s="36">
        <v>4000</v>
      </c>
      <c r="I4" s="36"/>
      <c r="L4" s="32" t="s">
        <v>76</v>
      </c>
      <c r="M4" s="37"/>
      <c r="N4" s="33">
        <f>1750*7</f>
        <v>12250</v>
      </c>
      <c r="O4" s="33">
        <f>1750*12</f>
        <v>21000</v>
      </c>
    </row>
    <row r="5" ht="14.25">
      <c r="B5" s="38" t="s">
        <v>77</v>
      </c>
      <c r="C5" s="39">
        <v>0</v>
      </c>
      <c r="D5" s="39">
        <v>0</v>
      </c>
      <c r="E5" s="39">
        <v>0</v>
      </c>
      <c r="G5" s="30" t="s">
        <v>78</v>
      </c>
      <c r="H5" s="36">
        <v>4000</v>
      </c>
      <c r="I5" s="36"/>
      <c r="L5" s="32" t="s">
        <v>79</v>
      </c>
      <c r="M5" s="37">
        <v>3400</v>
      </c>
      <c r="N5" s="33">
        <v>6000</v>
      </c>
      <c r="O5" s="33"/>
    </row>
    <row r="6" ht="14.25">
      <c r="B6" s="40"/>
      <c r="C6" s="40"/>
      <c r="D6" s="40"/>
      <c r="E6" s="41"/>
      <c r="G6" s="30" t="s">
        <v>80</v>
      </c>
      <c r="H6" s="36">
        <v>500</v>
      </c>
      <c r="I6" s="36">
        <v>1000</v>
      </c>
      <c r="L6" s="32" t="s">
        <v>81</v>
      </c>
      <c r="M6" s="33">
        <v>13500</v>
      </c>
      <c r="N6" s="33">
        <f>350*3+5000+1500</f>
        <v>7550</v>
      </c>
      <c r="O6" s="33"/>
    </row>
    <row r="7" ht="14.25">
      <c r="B7" s="42" t="s">
        <v>82</v>
      </c>
      <c r="C7" s="43">
        <f>SUMIFS('Factures 2025'!E:E,'Factures 2025'!H:H,"non",'Factures 2025'!N:N,"&lt;2026")</f>
        <v>16925</v>
      </c>
      <c r="D7" s="42" t="s">
        <v>83</v>
      </c>
      <c r="G7" s="30" t="s">
        <v>62</v>
      </c>
      <c r="H7" s="36">
        <v>4750</v>
      </c>
      <c r="I7" s="36"/>
      <c r="L7" s="44" t="s">
        <v>84</v>
      </c>
      <c r="M7" s="33">
        <v>6300</v>
      </c>
      <c r="N7" s="33">
        <f>300*12+100*7+700+29*3*12+29*7</f>
        <v>6247</v>
      </c>
      <c r="O7" s="33">
        <f>400*12+700+29*4*12</f>
        <v>6892</v>
      </c>
    </row>
    <row r="8" ht="14.25">
      <c r="C8" s="43">
        <f>SUMIFS('Factures 2025'!G:G,'Factures 2025'!H:H,"non",'Factures 2025'!N:N,"&lt;2026")</f>
        <v>18870</v>
      </c>
      <c r="D8" s="42" t="s">
        <v>85</v>
      </c>
      <c r="E8" s="45"/>
      <c r="L8" s="46" t="s">
        <v>72</v>
      </c>
      <c r="M8" s="33">
        <f>118000-M11</f>
        <v>114500</v>
      </c>
      <c r="N8" s="33"/>
      <c r="O8" s="33">
        <f>(H4+H5+H7)*12+I6*12</f>
        <v>165000</v>
      </c>
    </row>
    <row r="9" ht="14.25">
      <c r="B9" s="18"/>
      <c r="C9" s="40"/>
      <c r="D9" s="40"/>
      <c r="E9" s="47"/>
      <c r="L9" s="44" t="s">
        <v>86</v>
      </c>
      <c r="M9" s="33">
        <f>52000-M7</f>
        <v>45700</v>
      </c>
      <c r="N9" s="33"/>
      <c r="O9" s="33">
        <f>(H4+H5+H7)*12*0.42</f>
        <v>64260</v>
      </c>
    </row>
    <row r="10" ht="14.25">
      <c r="B10" s="26"/>
      <c r="C10" s="48" t="s">
        <v>65</v>
      </c>
      <c r="D10" s="48" t="s">
        <v>66</v>
      </c>
      <c r="E10" s="48" t="s">
        <v>67</v>
      </c>
      <c r="L10" s="18" t="s">
        <v>87</v>
      </c>
      <c r="M10" s="33">
        <v>1200</v>
      </c>
      <c r="N10" s="33">
        <v>1200</v>
      </c>
      <c r="O10" s="33">
        <v>1500</v>
      </c>
    </row>
    <row r="11" ht="14.25">
      <c r="B11" s="48" t="s">
        <v>88</v>
      </c>
      <c r="C11" s="49">
        <f>SUM(C12:C13)</f>
        <v>244426</v>
      </c>
      <c r="D11" s="49">
        <f>SUM(D12:D13)</f>
        <v>244426</v>
      </c>
      <c r="E11" s="49">
        <f>SUM(E12:E13)</f>
        <v>244426</v>
      </c>
      <c r="H11" s="28"/>
      <c r="L11" s="46" t="s">
        <v>89</v>
      </c>
      <c r="M11" s="33">
        <v>3500</v>
      </c>
      <c r="N11" s="33">
        <f>6*18*(12*3+7)</f>
        <v>4644</v>
      </c>
      <c r="O11" s="33">
        <f>6*18*(12*4)</f>
        <v>5184</v>
      </c>
    </row>
    <row r="12" ht="14.25">
      <c r="B12" s="50" t="s">
        <v>90</v>
      </c>
      <c r="C12" s="51">
        <f>N13</f>
        <v>53391</v>
      </c>
      <c r="D12" s="51">
        <f t="shared" ref="D12:D13" si="10">C12</f>
        <v>53391</v>
      </c>
      <c r="E12" s="51">
        <f t="shared" ref="E12:E13" si="11">D12</f>
        <v>53391</v>
      </c>
      <c r="L12" s="18"/>
      <c r="M12" s="33"/>
      <c r="N12" s="33"/>
      <c r="O12" s="33"/>
    </row>
    <row r="13" ht="14.25">
      <c r="B13" s="52" t="s">
        <v>72</v>
      </c>
      <c r="C13" s="39">
        <f>1.42*((H4+H5)*12+H7*7)+H6*9+(I4+I5+I7)*1.42+3*I6</f>
        <v>191035</v>
      </c>
      <c r="D13" s="39">
        <f t="shared" si="10"/>
        <v>191035</v>
      </c>
      <c r="E13" s="39">
        <f t="shared" si="11"/>
        <v>191035</v>
      </c>
      <c r="L13" s="18" t="s">
        <v>91</v>
      </c>
      <c r="M13" s="33">
        <f>SUM(M3:M12)</f>
        <v>206200</v>
      </c>
      <c r="N13" s="33">
        <f>SUM(N3:N12)</f>
        <v>53391</v>
      </c>
      <c r="O13" s="33">
        <f>SUM(O3:O12)</f>
        <v>279836</v>
      </c>
    </row>
    <row r="14" ht="14.25">
      <c r="B14" s="18"/>
      <c r="C14" s="18"/>
      <c r="D14" s="18"/>
      <c r="L14" s="18"/>
      <c r="M14" s="33"/>
      <c r="N14" s="28"/>
    </row>
    <row r="15" ht="14.25">
      <c r="B15" s="18"/>
      <c r="C15" s="47"/>
      <c r="D15" s="47"/>
      <c r="E15" s="47"/>
      <c r="L15" s="18"/>
      <c r="M15" s="33"/>
      <c r="N15" s="28"/>
    </row>
    <row r="16" ht="14.25">
      <c r="B16" s="26"/>
      <c r="C16" s="53" t="s">
        <v>65</v>
      </c>
      <c r="D16" s="53" t="s">
        <v>66</v>
      </c>
      <c r="E16" s="53" t="s">
        <v>67</v>
      </c>
      <c r="L16" s="18"/>
      <c r="M16" s="33"/>
      <c r="N16" s="28"/>
    </row>
    <row r="17" ht="14.25">
      <c r="B17" s="54" t="s">
        <v>92</v>
      </c>
      <c r="C17" s="55">
        <f>C3-C11</f>
        <v>-210758.79999999999</v>
      </c>
      <c r="D17" s="55">
        <f>D3-D11</f>
        <v>-80363.799999999988</v>
      </c>
      <c r="E17" s="55">
        <f>E3-E11</f>
        <v>-10533.799999999988</v>
      </c>
      <c r="L17" s="18"/>
      <c r="M17" s="33"/>
      <c r="N17" s="28"/>
    </row>
    <row r="18" ht="14.25">
      <c r="L18" s="18"/>
      <c r="M18" s="33"/>
      <c r="N18" s="28"/>
    </row>
    <row r="19" ht="14.25">
      <c r="L19" s="18"/>
      <c r="M19" s="33"/>
      <c r="N19" s="28"/>
    </row>
    <row r="20" ht="14.25">
      <c r="B20" s="26"/>
      <c r="C20" s="27" t="s">
        <v>65</v>
      </c>
      <c r="D20" s="27" t="s">
        <v>66</v>
      </c>
      <c r="E20" s="56" t="s">
        <v>67</v>
      </c>
      <c r="L20" s="18"/>
      <c r="M20" s="33"/>
      <c r="N20" s="28"/>
    </row>
    <row r="21" ht="14.25">
      <c r="B21" s="27" t="s">
        <v>71</v>
      </c>
      <c r="C21" s="57">
        <f>SUM(C22:C24)</f>
        <v>33667.199999999997</v>
      </c>
      <c r="D21" s="58">
        <f>SUM(D22:D24)</f>
        <v>164062.20000000001</v>
      </c>
      <c r="E21" s="59">
        <f>SUM(E22:E24)</f>
        <v>233892.20000000001</v>
      </c>
      <c r="L21" s="18"/>
      <c r="M21" s="33"/>
      <c r="N21" s="28"/>
    </row>
    <row r="22" ht="14.25">
      <c r="B22" s="60" t="s">
        <v>93</v>
      </c>
      <c r="C22" s="61">
        <f>SUMIFS('Factures 2025'!E:E,'Factures 2025'!H:H,"oui",'Factures 2025'!N:N,"&lt;2026",'Factures 2025'!C:C,"Alison")+SUMIFS('Factures 2025'!E:E,'Factures 2025'!H:H,"non",'Factures 2025'!N:N,"&lt;2026",'Factures 2025'!C:C,"Alison")</f>
        <v>13925</v>
      </c>
      <c r="D22" s="61">
        <f>C22+SUMIFS('Factures 2025'!E:E,'Factures 2025'!H:H,"prev",'Factures 2025'!N:N,"&lt;2026",'Factures 2025'!C:C,"Alison")</f>
        <v>20075</v>
      </c>
      <c r="E22" s="62">
        <f>D22+SUMIFS('Factures 2025'!E:E,'Factures 2025'!H:H,"prosp",'Factures 2025'!N:N,"&lt;2026",'Factures 2025'!C:C,"Alison")</f>
        <v>38475</v>
      </c>
      <c r="L22" s="18"/>
      <c r="M22" s="33"/>
      <c r="N22" s="28"/>
    </row>
    <row r="23" ht="14.25">
      <c r="B23" s="63" t="s">
        <v>94</v>
      </c>
      <c r="C23" s="64">
        <f>SUMIFS('Factures 2025'!E:E,'Factures 2025'!H:H,"oui",'Factures 2025'!N:N,"&lt;2026",'Factures 2025'!C:C,"Gaetan")+SUMIFS('Factures 2025'!E:E,'Factures 2025'!H:H,"non",'Factures 2025'!N:N,"&lt;2026",'Factures 2025'!C:C,"Gaetan")</f>
        <v>19742.200000000001</v>
      </c>
      <c r="D23" s="65">
        <f>C23+SUMIFS('Factures 2025'!E:E,'Factures 2025'!H:H,"prev",'Factures 2025'!N:N,"&lt;2026",'Factures 2025'!C:C,"Gaetan")</f>
        <v>82967.199999999997</v>
      </c>
      <c r="E23" s="66">
        <f>D23+SUMIFS('Factures 2025'!E:E,'Factures 2025'!H:H,"prosp",'Factures 2025'!N:N,"&lt;2026",'Factures 2025'!C:C,"Gaetan")</f>
        <v>134397.20000000001</v>
      </c>
      <c r="L23" s="18"/>
      <c r="M23" s="33"/>
      <c r="N23" s="28"/>
    </row>
    <row r="24" ht="14.25">
      <c r="B24" s="63" t="s">
        <v>95</v>
      </c>
      <c r="C24" s="64">
        <f>SUMIFS('Factures 2025'!E:E,'Factures 2025'!H:H,"oui",'Factures 2025'!N:N,"&lt;2026",'Factures 2025'!C:C,"Nicolas")+SUMIFS('Factures 2025'!E:E,'Factures 2025'!H:H,"non",'Factures 2025'!N:N,"&lt;2026",'Factures 2025'!C:C,"Nicolas")</f>
        <v>0</v>
      </c>
      <c r="D24" s="65">
        <f>C24+SUMIFS('Factures 2025'!E:E,'Factures 2025'!H:H,"prev",'Factures 2025'!N:N,"&lt;2026",'Factures 2025'!C:C,"Nicolas")</f>
        <v>61020</v>
      </c>
      <c r="E24" s="66">
        <f>D24+SUMIFS('Factures 2025'!E:E,'Factures 2025'!H:H,"prosp",'Factures 2025'!N:N,"&lt;2026",'Factures 2025'!C:C,"Nicolas")</f>
        <v>61020</v>
      </c>
      <c r="L24" s="18"/>
      <c r="M24" s="33"/>
      <c r="N24" s="28"/>
    </row>
    <row r="25" ht="14.25"/>
    <row r="26" ht="14.25">
      <c r="L26" s="18"/>
      <c r="M26" s="18"/>
      <c r="N26" s="28"/>
    </row>
    <row r="27" ht="14.25">
      <c r="L27" s="18"/>
      <c r="M27" s="18"/>
      <c r="N27" s="28"/>
    </row>
    <row r="28" ht="14.25"/>
    <row r="29" ht="14.25">
      <c r="L29" s="18"/>
      <c r="M29" s="18"/>
      <c r="N29" s="2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8" operator="greaterThan" id="{007A0015-00CF-4E0A-9E50-00DC001C0024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C17:D17 E17</xm:sqref>
        </x14:conditionalFormatting>
        <x14:conditionalFormatting xmlns:xm="http://schemas.microsoft.com/office/excel/2006/main">
          <x14:cfRule type="cellIs" priority="27" operator="lessThan" id="{000B000A-0062-4C37-8DD1-00240053005C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C17:D17 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30" activeCellId="0" sqref="D30"/>
    </sheetView>
  </sheetViews>
  <sheetFormatPr baseColWidth="10" defaultRowHeight="14.25"/>
  <cols>
    <col customWidth="1" min="1" max="1" style="1" width="13.42578125"/>
    <col customWidth="1" min="2" max="3" style="1" width="16.28515625"/>
    <col bestFit="1" customWidth="1" min="4" max="4" style="2" width="19.421875"/>
    <col customWidth="1" min="5" max="6" style="3" width="16.42578125"/>
    <col customWidth="1" min="7" max="7" style="3" width="19.42578125"/>
    <col min="8" max="8" style="4" width="11.42578125"/>
    <col bestFit="1" min="9" max="9" width="15.140625"/>
    <col customWidth="1" min="10" max="10" style="5" width="10.28515625"/>
    <col customWidth="1" min="11" max="11" style="6" width="15.140625"/>
    <col min="12" max="12" style="5" width="11.42578125"/>
  </cols>
  <sheetData>
    <row r="1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1" t="s">
        <v>8</v>
      </c>
      <c r="J1" s="12" t="s">
        <v>9</v>
      </c>
      <c r="K1" s="11" t="s">
        <v>96</v>
      </c>
      <c r="L1" s="12" t="s">
        <v>97</v>
      </c>
      <c r="M1" t="s">
        <v>98</v>
      </c>
      <c r="N1" s="13" t="s">
        <v>10</v>
      </c>
      <c r="O1" s="13" t="s">
        <v>11</v>
      </c>
    </row>
    <row r="2">
      <c r="A2" s="20">
        <v>45296</v>
      </c>
      <c r="B2" s="15" t="s">
        <v>12</v>
      </c>
      <c r="C2" s="15" t="s">
        <v>13</v>
      </c>
      <c r="D2" s="19" t="s">
        <v>99</v>
      </c>
      <c r="E2" s="3">
        <f t="shared" ref="E2:E5" si="12">I2*J2</f>
        <v>660</v>
      </c>
      <c r="F2" s="3">
        <f t="shared" ref="F2:F9" si="13">0.2*E2</f>
        <v>132</v>
      </c>
      <c r="G2" s="3">
        <f t="shared" ref="G2:G9" si="14">F2+E2</f>
        <v>792</v>
      </c>
      <c r="H2" s="4" t="s">
        <v>15</v>
      </c>
      <c r="I2">
        <v>1</v>
      </c>
      <c r="J2" s="16">
        <v>660</v>
      </c>
      <c r="K2" s="45">
        <v>1</v>
      </c>
      <c r="L2" s="5">
        <f t="shared" ref="L2:L9" si="15">E2/K2</f>
        <v>660</v>
      </c>
      <c r="N2">
        <f t="shared" ref="N2:N9" si="16">YEAR(A2)</f>
        <v>2024</v>
      </c>
      <c r="O2">
        <f t="shared" ref="O2:O9" si="17">MONTH(A2)</f>
        <v>1</v>
      </c>
    </row>
    <row r="3">
      <c r="A3" s="20">
        <v>45296</v>
      </c>
      <c r="B3" s="15" t="s">
        <v>12</v>
      </c>
      <c r="C3" s="15" t="s">
        <v>17</v>
      </c>
      <c r="D3" s="19" t="s">
        <v>100</v>
      </c>
      <c r="E3" s="3">
        <f t="shared" si="12"/>
        <v>1180</v>
      </c>
      <c r="F3" s="3">
        <f t="shared" si="13"/>
        <v>236</v>
      </c>
      <c r="G3" s="3">
        <f t="shared" si="14"/>
        <v>1416</v>
      </c>
      <c r="H3" s="4" t="s">
        <v>15</v>
      </c>
      <c r="I3">
        <v>2</v>
      </c>
      <c r="J3" s="5">
        <v>590</v>
      </c>
      <c r="K3">
        <v>2</v>
      </c>
      <c r="L3" s="5">
        <f t="shared" si="15"/>
        <v>590</v>
      </c>
      <c r="N3">
        <f t="shared" si="16"/>
        <v>2024</v>
      </c>
      <c r="O3">
        <f t="shared" si="17"/>
        <v>1</v>
      </c>
    </row>
    <row r="4">
      <c r="A4" s="20">
        <v>45314</v>
      </c>
      <c r="B4" s="15" t="s">
        <v>101</v>
      </c>
      <c r="C4" s="15" t="s">
        <v>13</v>
      </c>
      <c r="D4" s="19" t="s">
        <v>102</v>
      </c>
      <c r="E4" s="3">
        <f t="shared" si="12"/>
        <v>2296</v>
      </c>
      <c r="F4" s="3">
        <v>0</v>
      </c>
      <c r="G4" s="3">
        <f t="shared" si="14"/>
        <v>2296</v>
      </c>
      <c r="H4" s="4" t="s">
        <v>15</v>
      </c>
      <c r="I4">
        <v>4</v>
      </c>
      <c r="J4" s="5">
        <f>7*82</f>
        <v>574</v>
      </c>
      <c r="K4" s="45">
        <v>2</v>
      </c>
      <c r="L4" s="5">
        <f t="shared" si="15"/>
        <v>1148</v>
      </c>
      <c r="N4">
        <f t="shared" si="16"/>
        <v>2024</v>
      </c>
      <c r="O4">
        <f t="shared" si="17"/>
        <v>1</v>
      </c>
    </row>
    <row r="5">
      <c r="A5" s="20">
        <v>45314</v>
      </c>
      <c r="B5" s="15" t="s">
        <v>12</v>
      </c>
      <c r="C5" s="15" t="s">
        <v>17</v>
      </c>
      <c r="D5" s="19" t="s">
        <v>103</v>
      </c>
      <c r="E5" s="3">
        <f t="shared" si="12"/>
        <v>930</v>
      </c>
      <c r="F5" s="3">
        <f t="shared" si="13"/>
        <v>186</v>
      </c>
      <c r="G5" s="3">
        <f t="shared" si="14"/>
        <v>1116</v>
      </c>
      <c r="H5" s="4" t="s">
        <v>15</v>
      </c>
      <c r="I5">
        <v>1</v>
      </c>
      <c r="J5" s="5">
        <v>930</v>
      </c>
      <c r="K5" s="45">
        <v>0</v>
      </c>
      <c r="L5" s="5" t="e">
        <f t="shared" si="15"/>
        <v>#DIV/0!</v>
      </c>
      <c r="N5">
        <f t="shared" si="16"/>
        <v>2024</v>
      </c>
      <c r="O5">
        <f t="shared" si="17"/>
        <v>1</v>
      </c>
    </row>
    <row r="6">
      <c r="A6" s="20">
        <v>45321</v>
      </c>
      <c r="B6" s="15" t="s">
        <v>19</v>
      </c>
      <c r="C6" s="15" t="s">
        <v>17</v>
      </c>
      <c r="D6" s="19" t="s">
        <v>104</v>
      </c>
      <c r="E6" s="3">
        <f>5*450+2*475+3*60</f>
        <v>3380</v>
      </c>
      <c r="F6" s="3">
        <v>0</v>
      </c>
      <c r="G6" s="3">
        <f t="shared" si="14"/>
        <v>3380</v>
      </c>
      <c r="H6" s="4" t="s">
        <v>15</v>
      </c>
      <c r="I6" s="45">
        <v>7</v>
      </c>
      <c r="J6" s="16">
        <v>450</v>
      </c>
      <c r="K6" s="6"/>
      <c r="L6" s="5" t="e">
        <f t="shared" si="15"/>
        <v>#DIV/0!</v>
      </c>
      <c r="N6">
        <f t="shared" si="16"/>
        <v>2024</v>
      </c>
      <c r="O6">
        <f t="shared" si="17"/>
        <v>1</v>
      </c>
    </row>
    <row r="7">
      <c r="A7" s="20">
        <v>45321</v>
      </c>
      <c r="B7" s="15" t="s">
        <v>105</v>
      </c>
      <c r="C7" s="15" t="s">
        <v>17</v>
      </c>
      <c r="D7" s="19" t="s">
        <v>106</v>
      </c>
      <c r="E7" s="3">
        <f t="shared" ref="E7:E9" si="18">I7*J7</f>
        <v>9750</v>
      </c>
      <c r="F7" s="3">
        <v>0</v>
      </c>
      <c r="G7" s="3">
        <f t="shared" si="14"/>
        <v>9750</v>
      </c>
      <c r="H7" s="4" t="s">
        <v>15</v>
      </c>
      <c r="I7">
        <v>15</v>
      </c>
      <c r="J7" s="16">
        <v>650</v>
      </c>
      <c r="K7" s="6"/>
      <c r="L7" s="5" t="e">
        <f t="shared" si="15"/>
        <v>#DIV/0!</v>
      </c>
      <c r="N7">
        <f t="shared" si="16"/>
        <v>2024</v>
      </c>
      <c r="O7">
        <f t="shared" si="17"/>
        <v>1</v>
      </c>
    </row>
    <row r="8">
      <c r="A8" s="20">
        <v>45321</v>
      </c>
      <c r="B8" s="15" t="s">
        <v>107</v>
      </c>
      <c r="C8" s="15" t="s">
        <v>17</v>
      </c>
      <c r="D8" s="19" t="s">
        <v>108</v>
      </c>
      <c r="E8" s="3">
        <f t="shared" si="18"/>
        <v>900</v>
      </c>
      <c r="F8" s="3">
        <f t="shared" si="13"/>
        <v>180</v>
      </c>
      <c r="G8" s="3">
        <f t="shared" si="14"/>
        <v>1080</v>
      </c>
      <c r="H8" s="4" t="s">
        <v>15</v>
      </c>
      <c r="I8">
        <v>1.5</v>
      </c>
      <c r="J8" s="16">
        <v>600</v>
      </c>
      <c r="K8" s="45">
        <v>1.5</v>
      </c>
      <c r="L8" s="5">
        <f t="shared" si="15"/>
        <v>600</v>
      </c>
      <c r="N8">
        <f t="shared" si="16"/>
        <v>2024</v>
      </c>
      <c r="O8">
        <f t="shared" si="17"/>
        <v>1</v>
      </c>
    </row>
    <row r="9">
      <c r="A9" s="20">
        <v>45322</v>
      </c>
      <c r="B9" s="15" t="s">
        <v>26</v>
      </c>
      <c r="C9" s="15" t="s">
        <v>13</v>
      </c>
      <c r="D9" s="2" t="s">
        <v>109</v>
      </c>
      <c r="E9" s="3">
        <f t="shared" si="18"/>
        <v>7500</v>
      </c>
      <c r="F9" s="3">
        <f t="shared" si="13"/>
        <v>1500</v>
      </c>
      <c r="G9" s="3">
        <f t="shared" si="14"/>
        <v>9000</v>
      </c>
      <c r="H9" s="4" t="s">
        <v>15</v>
      </c>
      <c r="I9" s="45">
        <v>15</v>
      </c>
      <c r="J9" s="16">
        <v>500</v>
      </c>
      <c r="K9" s="45">
        <v>13</v>
      </c>
      <c r="L9" s="5">
        <f t="shared" si="15"/>
        <v>576.92307692307691</v>
      </c>
      <c r="N9">
        <f t="shared" si="16"/>
        <v>2024</v>
      </c>
      <c r="O9">
        <f t="shared" si="17"/>
        <v>1</v>
      </c>
    </row>
    <row r="10">
      <c r="A10" s="20">
        <v>45327</v>
      </c>
      <c r="B10" s="15" t="s">
        <v>12</v>
      </c>
      <c r="C10" s="15" t="s">
        <v>17</v>
      </c>
      <c r="D10" s="2" t="s">
        <v>110</v>
      </c>
      <c r="E10" s="3">
        <f t="shared" ref="E10:E27" si="19">I10*J10</f>
        <v>840</v>
      </c>
      <c r="F10" s="3">
        <f t="shared" ref="F10:F64" si="20">0.2*E10</f>
        <v>168</v>
      </c>
      <c r="G10" s="3">
        <f t="shared" ref="G10:G73" si="21">F10+E10</f>
        <v>1008</v>
      </c>
      <c r="H10" s="4" t="s">
        <v>15</v>
      </c>
      <c r="I10">
        <v>1</v>
      </c>
      <c r="J10" s="5">
        <v>840</v>
      </c>
      <c r="K10" s="6"/>
      <c r="L10" s="5" t="e">
        <f t="shared" ref="L10:L73" si="22">E10/K10</f>
        <v>#DIV/0!</v>
      </c>
      <c r="N10">
        <f t="shared" ref="N10:N73" si="23">YEAR(A10)</f>
        <v>2024</v>
      </c>
      <c r="O10">
        <f t="shared" ref="O10:O73" si="24">MONTH(A10)</f>
        <v>2</v>
      </c>
    </row>
    <row r="11">
      <c r="A11" s="20">
        <v>45327</v>
      </c>
      <c r="B11" s="15" t="s">
        <v>12</v>
      </c>
      <c r="C11" s="15" t="s">
        <v>13</v>
      </c>
      <c r="D11" s="19" t="s">
        <v>111</v>
      </c>
      <c r="E11" s="3">
        <f t="shared" si="19"/>
        <v>790</v>
      </c>
      <c r="F11" s="3">
        <f t="shared" si="20"/>
        <v>158</v>
      </c>
      <c r="G11" s="3">
        <f t="shared" si="21"/>
        <v>948</v>
      </c>
      <c r="H11" s="4" t="s">
        <v>15</v>
      </c>
      <c r="I11">
        <v>1</v>
      </c>
      <c r="J11" s="16">
        <v>790</v>
      </c>
      <c r="K11" s="45">
        <v>1</v>
      </c>
      <c r="L11" s="5">
        <f t="shared" si="22"/>
        <v>790</v>
      </c>
      <c r="N11">
        <f t="shared" si="23"/>
        <v>2024</v>
      </c>
      <c r="O11">
        <f t="shared" si="24"/>
        <v>2</v>
      </c>
    </row>
    <row r="12">
      <c r="A12" s="20">
        <v>45345</v>
      </c>
      <c r="B12" s="15" t="s">
        <v>101</v>
      </c>
      <c r="C12" s="15" t="s">
        <v>13</v>
      </c>
      <c r="D12" s="19" t="s">
        <v>112</v>
      </c>
      <c r="E12" s="3">
        <f t="shared" si="19"/>
        <v>1148</v>
      </c>
      <c r="F12" s="3">
        <v>0</v>
      </c>
      <c r="G12" s="3">
        <f t="shared" si="21"/>
        <v>1148</v>
      </c>
      <c r="H12" s="4" t="s">
        <v>15</v>
      </c>
      <c r="I12">
        <v>2</v>
      </c>
      <c r="J12" s="5">
        <f>7*82</f>
        <v>574</v>
      </c>
      <c r="K12" s="6"/>
      <c r="L12" s="5" t="e">
        <f t="shared" si="22"/>
        <v>#DIV/0!</v>
      </c>
      <c r="N12">
        <f t="shared" si="23"/>
        <v>2024</v>
      </c>
      <c r="O12">
        <f t="shared" si="24"/>
        <v>2</v>
      </c>
    </row>
    <row r="13">
      <c r="A13" s="20">
        <v>45348</v>
      </c>
      <c r="B13" s="15" t="s">
        <v>19</v>
      </c>
      <c r="C13" s="15" t="s">
        <v>17</v>
      </c>
      <c r="D13" s="2" t="s">
        <v>113</v>
      </c>
      <c r="E13" s="3">
        <v>2000</v>
      </c>
      <c r="F13" s="3">
        <v>0</v>
      </c>
      <c r="G13" s="3">
        <f t="shared" si="21"/>
        <v>2000</v>
      </c>
      <c r="H13" s="4" t="s">
        <v>15</v>
      </c>
      <c r="I13">
        <v>1</v>
      </c>
      <c r="J13" s="5">
        <v>2000</v>
      </c>
      <c r="K13" s="6">
        <v>1</v>
      </c>
      <c r="L13" s="5">
        <f t="shared" si="22"/>
        <v>2000</v>
      </c>
      <c r="N13">
        <f t="shared" si="23"/>
        <v>2024</v>
      </c>
      <c r="O13">
        <f t="shared" si="24"/>
        <v>2</v>
      </c>
    </row>
    <row r="14">
      <c r="A14" s="20">
        <v>45348</v>
      </c>
      <c r="B14" s="15" t="s">
        <v>105</v>
      </c>
      <c r="C14" s="15" t="s">
        <v>17</v>
      </c>
      <c r="D14" s="2" t="s">
        <v>114</v>
      </c>
      <c r="E14" s="3">
        <f t="shared" si="19"/>
        <v>3900</v>
      </c>
      <c r="F14" s="3">
        <v>0</v>
      </c>
      <c r="G14" s="3">
        <f t="shared" si="21"/>
        <v>3900</v>
      </c>
      <c r="H14" s="4" t="s">
        <v>15</v>
      </c>
      <c r="I14">
        <v>6</v>
      </c>
      <c r="J14" s="16">
        <v>650</v>
      </c>
      <c r="K14" s="6"/>
      <c r="L14" s="5" t="e">
        <f t="shared" si="22"/>
        <v>#DIV/0!</v>
      </c>
      <c r="N14">
        <f t="shared" si="23"/>
        <v>2024</v>
      </c>
      <c r="O14">
        <f t="shared" si="24"/>
        <v>2</v>
      </c>
    </row>
    <row r="15">
      <c r="A15" s="20">
        <v>45348</v>
      </c>
      <c r="B15" s="15" t="s">
        <v>12</v>
      </c>
      <c r="C15" s="15" t="s">
        <v>17</v>
      </c>
      <c r="D15" s="19" t="s">
        <v>115</v>
      </c>
      <c r="E15" s="3">
        <v>855</v>
      </c>
      <c r="F15" s="3">
        <f t="shared" si="20"/>
        <v>171</v>
      </c>
      <c r="G15" s="3">
        <f t="shared" si="21"/>
        <v>1026</v>
      </c>
      <c r="H15" s="4" t="s">
        <v>15</v>
      </c>
      <c r="I15">
        <v>2</v>
      </c>
      <c r="J15" s="5">
        <v>750</v>
      </c>
      <c r="K15" s="6"/>
      <c r="L15" s="5" t="e">
        <f t="shared" si="22"/>
        <v>#DIV/0!</v>
      </c>
      <c r="N15">
        <f t="shared" si="23"/>
        <v>2024</v>
      </c>
      <c r="O15">
        <f t="shared" si="24"/>
        <v>2</v>
      </c>
    </row>
    <row r="16">
      <c r="A16" s="20">
        <v>45350</v>
      </c>
      <c r="B16" s="15" t="s">
        <v>107</v>
      </c>
      <c r="C16" s="15" t="s">
        <v>17</v>
      </c>
      <c r="D16" s="19" t="s">
        <v>116</v>
      </c>
      <c r="E16" s="3">
        <f t="shared" si="19"/>
        <v>600</v>
      </c>
      <c r="F16" s="3">
        <f t="shared" si="20"/>
        <v>120</v>
      </c>
      <c r="G16" s="3">
        <f t="shared" si="21"/>
        <v>720</v>
      </c>
      <c r="H16" s="4" t="s">
        <v>15</v>
      </c>
      <c r="I16" s="45">
        <v>1</v>
      </c>
      <c r="J16" s="5">
        <v>600</v>
      </c>
      <c r="K16" s="6"/>
      <c r="L16" s="5" t="e">
        <f t="shared" si="22"/>
        <v>#DIV/0!</v>
      </c>
      <c r="N16">
        <f t="shared" si="23"/>
        <v>2024</v>
      </c>
      <c r="O16">
        <f t="shared" si="24"/>
        <v>2</v>
      </c>
    </row>
    <row r="17">
      <c r="A17" s="20">
        <v>45350</v>
      </c>
      <c r="B17" s="15" t="s">
        <v>19</v>
      </c>
      <c r="C17" s="15" t="s">
        <v>17</v>
      </c>
      <c r="D17" s="2" t="s">
        <v>117</v>
      </c>
      <c r="E17" s="3">
        <v>3650</v>
      </c>
      <c r="F17" s="3">
        <v>0</v>
      </c>
      <c r="G17" s="3">
        <f t="shared" si="21"/>
        <v>3650</v>
      </c>
      <c r="H17" s="4" t="s">
        <v>15</v>
      </c>
      <c r="I17" s="45">
        <v>7</v>
      </c>
      <c r="J17" s="5">
        <v>475</v>
      </c>
      <c r="K17" s="6">
        <v>7</v>
      </c>
      <c r="L17" s="5">
        <f t="shared" si="22"/>
        <v>521.42857142857144</v>
      </c>
      <c r="N17">
        <f t="shared" si="23"/>
        <v>2024</v>
      </c>
      <c r="O17">
        <f t="shared" si="24"/>
        <v>2</v>
      </c>
    </row>
    <row r="18">
      <c r="A18" s="20">
        <v>45351</v>
      </c>
      <c r="B18" s="15" t="s">
        <v>26</v>
      </c>
      <c r="C18" s="15" t="s">
        <v>13</v>
      </c>
      <c r="D18" s="2" t="s">
        <v>118</v>
      </c>
      <c r="E18" s="3">
        <f t="shared" si="19"/>
        <v>7500</v>
      </c>
      <c r="F18" s="3">
        <f t="shared" si="20"/>
        <v>1500</v>
      </c>
      <c r="G18" s="3">
        <f t="shared" si="21"/>
        <v>9000</v>
      </c>
      <c r="H18" s="4" t="s">
        <v>15</v>
      </c>
      <c r="I18">
        <v>15</v>
      </c>
      <c r="J18" s="16">
        <v>500</v>
      </c>
      <c r="K18" s="6">
        <v>13</v>
      </c>
      <c r="L18" s="5">
        <f t="shared" si="22"/>
        <v>576.92307692307691</v>
      </c>
      <c r="N18">
        <f t="shared" si="23"/>
        <v>2024</v>
      </c>
      <c r="O18">
        <f t="shared" si="24"/>
        <v>2</v>
      </c>
    </row>
    <row r="19">
      <c r="A19" s="20">
        <v>45356</v>
      </c>
      <c r="B19" s="15" t="s">
        <v>12</v>
      </c>
      <c r="C19" s="15" t="s">
        <v>17</v>
      </c>
      <c r="D19" s="19" t="s">
        <v>119</v>
      </c>
      <c r="E19" s="3">
        <f t="shared" si="19"/>
        <v>880</v>
      </c>
      <c r="F19" s="3">
        <f t="shared" si="20"/>
        <v>176</v>
      </c>
      <c r="G19" s="3">
        <f t="shared" si="21"/>
        <v>1056</v>
      </c>
      <c r="H19" s="4" t="s">
        <v>15</v>
      </c>
      <c r="I19">
        <v>1</v>
      </c>
      <c r="J19" s="5">
        <v>880</v>
      </c>
      <c r="K19" s="6"/>
      <c r="L19" s="5" t="e">
        <f t="shared" si="22"/>
        <v>#DIV/0!</v>
      </c>
      <c r="N19">
        <f t="shared" si="23"/>
        <v>2024</v>
      </c>
      <c r="O19">
        <f t="shared" si="24"/>
        <v>3</v>
      </c>
    </row>
    <row r="20">
      <c r="A20" s="20">
        <v>45356</v>
      </c>
      <c r="B20" s="15" t="s">
        <v>12</v>
      </c>
      <c r="C20" s="15" t="s">
        <v>13</v>
      </c>
      <c r="D20" s="19" t="s">
        <v>120</v>
      </c>
      <c r="E20" s="3">
        <f t="shared" si="19"/>
        <v>880</v>
      </c>
      <c r="F20" s="3">
        <f t="shared" si="20"/>
        <v>176</v>
      </c>
      <c r="G20" s="3">
        <f t="shared" si="21"/>
        <v>1056</v>
      </c>
      <c r="H20" s="4" t="s">
        <v>15</v>
      </c>
      <c r="I20" s="45">
        <v>1</v>
      </c>
      <c r="J20" s="16">
        <v>880</v>
      </c>
      <c r="K20" s="6"/>
      <c r="L20" s="5" t="e">
        <f t="shared" si="22"/>
        <v>#DIV/0!</v>
      </c>
      <c r="N20">
        <f t="shared" si="23"/>
        <v>2024</v>
      </c>
      <c r="O20">
        <f t="shared" si="24"/>
        <v>3</v>
      </c>
    </row>
    <row r="21">
      <c r="A21" s="20">
        <v>45359</v>
      </c>
      <c r="B21" s="15" t="s">
        <v>12</v>
      </c>
      <c r="C21" s="15" t="s">
        <v>17</v>
      </c>
      <c r="D21" s="19" t="s">
        <v>121</v>
      </c>
      <c r="E21" s="3">
        <f t="shared" si="19"/>
        <v>1000</v>
      </c>
      <c r="F21" s="3">
        <f t="shared" si="20"/>
        <v>200</v>
      </c>
      <c r="G21" s="3">
        <f t="shared" si="21"/>
        <v>1200</v>
      </c>
      <c r="H21" s="4" t="s">
        <v>15</v>
      </c>
      <c r="I21">
        <v>1</v>
      </c>
      <c r="J21" s="16">
        <v>1000</v>
      </c>
      <c r="K21" s="6"/>
      <c r="L21" s="5" t="e">
        <f t="shared" si="22"/>
        <v>#DIV/0!</v>
      </c>
      <c r="N21">
        <f t="shared" si="23"/>
        <v>2024</v>
      </c>
      <c r="O21">
        <f t="shared" si="24"/>
        <v>3</v>
      </c>
    </row>
    <row r="22">
      <c r="A22" s="20">
        <v>45359</v>
      </c>
      <c r="B22" s="15" t="s">
        <v>19</v>
      </c>
      <c r="C22" s="15" t="s">
        <v>13</v>
      </c>
      <c r="D22" s="2" t="s">
        <v>122</v>
      </c>
      <c r="E22" s="3">
        <f t="shared" si="19"/>
        <v>475</v>
      </c>
      <c r="F22" s="3">
        <v>0</v>
      </c>
      <c r="G22" s="3">
        <f t="shared" si="21"/>
        <v>475</v>
      </c>
      <c r="H22" s="4" t="s">
        <v>15</v>
      </c>
      <c r="I22">
        <v>1</v>
      </c>
      <c r="J22" s="5">
        <v>475</v>
      </c>
      <c r="K22" s="6"/>
      <c r="L22" s="5" t="e">
        <f t="shared" si="22"/>
        <v>#DIV/0!</v>
      </c>
      <c r="N22">
        <f t="shared" si="23"/>
        <v>2024</v>
      </c>
      <c r="O22">
        <f t="shared" si="24"/>
        <v>3</v>
      </c>
    </row>
    <row r="23">
      <c r="A23" s="20">
        <v>45364</v>
      </c>
      <c r="B23" s="15" t="s">
        <v>45</v>
      </c>
      <c r="C23" s="15" t="s">
        <v>17</v>
      </c>
      <c r="D23" s="2" t="s">
        <v>123</v>
      </c>
      <c r="E23" s="3">
        <f t="shared" si="19"/>
        <v>750</v>
      </c>
      <c r="F23" s="3">
        <v>0</v>
      </c>
      <c r="G23" s="3">
        <f t="shared" si="21"/>
        <v>750</v>
      </c>
      <c r="H23" s="4" t="s">
        <v>15</v>
      </c>
      <c r="I23" s="45">
        <v>1</v>
      </c>
      <c r="J23" s="16">
        <v>750</v>
      </c>
      <c r="K23" s="6"/>
      <c r="L23" s="5" t="e">
        <f t="shared" si="22"/>
        <v>#DIV/0!</v>
      </c>
      <c r="N23">
        <f t="shared" si="23"/>
        <v>2024</v>
      </c>
      <c r="O23">
        <f t="shared" si="24"/>
        <v>3</v>
      </c>
    </row>
    <row r="24">
      <c r="A24" s="20">
        <v>45364</v>
      </c>
      <c r="B24" s="15" t="s">
        <v>107</v>
      </c>
      <c r="C24" s="15" t="s">
        <v>17</v>
      </c>
      <c r="D24" s="2" t="s">
        <v>124</v>
      </c>
      <c r="E24" s="3">
        <v>300</v>
      </c>
      <c r="F24" s="3">
        <f t="shared" si="20"/>
        <v>60</v>
      </c>
      <c r="G24" s="3">
        <f t="shared" si="21"/>
        <v>360</v>
      </c>
      <c r="H24" s="4" t="s">
        <v>15</v>
      </c>
      <c r="I24">
        <v>1</v>
      </c>
      <c r="J24" s="16">
        <v>600</v>
      </c>
      <c r="K24" s="6">
        <v>0.5</v>
      </c>
      <c r="L24" s="5">
        <f t="shared" si="22"/>
        <v>600</v>
      </c>
      <c r="N24">
        <f t="shared" si="23"/>
        <v>2024</v>
      </c>
      <c r="O24">
        <f t="shared" si="24"/>
        <v>3</v>
      </c>
    </row>
    <row r="25">
      <c r="A25" s="20">
        <v>45378</v>
      </c>
      <c r="B25" s="15" t="s">
        <v>12</v>
      </c>
      <c r="C25" s="15" t="s">
        <v>17</v>
      </c>
      <c r="D25" s="2" t="s">
        <v>125</v>
      </c>
      <c r="E25" s="3">
        <v>1065</v>
      </c>
      <c r="F25" s="3">
        <f t="shared" si="20"/>
        <v>213</v>
      </c>
      <c r="G25" s="3">
        <f t="shared" si="21"/>
        <v>1278</v>
      </c>
      <c r="H25" s="4" t="s">
        <v>15</v>
      </c>
      <c r="I25">
        <v>1</v>
      </c>
      <c r="J25" s="16">
        <f>E25</f>
        <v>1065</v>
      </c>
      <c r="K25" s="6"/>
      <c r="L25" s="5" t="e">
        <f t="shared" si="22"/>
        <v>#DIV/0!</v>
      </c>
      <c r="N25">
        <f t="shared" si="23"/>
        <v>2024</v>
      </c>
      <c r="O25">
        <f t="shared" si="24"/>
        <v>3</v>
      </c>
    </row>
    <row r="26">
      <c r="A26" s="20">
        <v>45380</v>
      </c>
      <c r="B26" s="15" t="s">
        <v>105</v>
      </c>
      <c r="C26" s="15" t="s">
        <v>17</v>
      </c>
      <c r="D26" s="2" t="s">
        <v>126</v>
      </c>
      <c r="E26" s="3">
        <f t="shared" si="19"/>
        <v>650</v>
      </c>
      <c r="F26" s="3">
        <v>0</v>
      </c>
      <c r="G26" s="3">
        <f t="shared" si="21"/>
        <v>650</v>
      </c>
      <c r="H26" s="4" t="s">
        <v>15</v>
      </c>
      <c r="I26">
        <v>1</v>
      </c>
      <c r="J26" s="16">
        <v>650</v>
      </c>
      <c r="K26" s="6"/>
      <c r="L26" s="5" t="e">
        <f t="shared" si="22"/>
        <v>#DIV/0!</v>
      </c>
      <c r="N26">
        <f t="shared" si="23"/>
        <v>2024</v>
      </c>
      <c r="O26">
        <f t="shared" si="24"/>
        <v>3</v>
      </c>
    </row>
    <row r="27">
      <c r="A27" s="20">
        <v>45380</v>
      </c>
      <c r="B27" s="15" t="s">
        <v>26</v>
      </c>
      <c r="C27" s="15" t="s">
        <v>13</v>
      </c>
      <c r="D27" s="2" t="s">
        <v>127</v>
      </c>
      <c r="E27" s="3">
        <f t="shared" si="19"/>
        <v>7000</v>
      </c>
      <c r="F27" s="3">
        <f t="shared" si="20"/>
        <v>1400</v>
      </c>
      <c r="G27" s="3">
        <f t="shared" si="21"/>
        <v>8400</v>
      </c>
      <c r="H27" s="4" t="s">
        <v>15</v>
      </c>
      <c r="I27" s="45">
        <v>14</v>
      </c>
      <c r="J27" s="16">
        <v>500</v>
      </c>
      <c r="K27" s="6">
        <v>12</v>
      </c>
      <c r="L27" s="5">
        <f t="shared" si="22"/>
        <v>583.33333333333337</v>
      </c>
      <c r="N27">
        <f t="shared" si="23"/>
        <v>2024</v>
      </c>
      <c r="O27">
        <f t="shared" si="24"/>
        <v>3</v>
      </c>
    </row>
    <row r="28">
      <c r="A28" s="20">
        <v>45381</v>
      </c>
      <c r="B28" s="15" t="s">
        <v>19</v>
      </c>
      <c r="C28" s="15" t="s">
        <v>17</v>
      </c>
      <c r="D28" s="2" t="s">
        <v>128</v>
      </c>
      <c r="E28" s="3">
        <f>4*450+7.5*475+3*60</f>
        <v>5542.5</v>
      </c>
      <c r="F28" s="3">
        <v>0</v>
      </c>
      <c r="G28" s="3">
        <f t="shared" si="21"/>
        <v>5542.5</v>
      </c>
      <c r="H28" s="4" t="s">
        <v>15</v>
      </c>
      <c r="I28">
        <v>8</v>
      </c>
      <c r="J28" s="67">
        <f>E28/8</f>
        <v>692.8125</v>
      </c>
      <c r="K28" s="6"/>
      <c r="L28" s="5" t="e">
        <f t="shared" si="22"/>
        <v>#DIV/0!</v>
      </c>
      <c r="N28">
        <f t="shared" si="23"/>
        <v>2024</v>
      </c>
      <c r="O28">
        <f t="shared" si="24"/>
        <v>3</v>
      </c>
    </row>
    <row r="29">
      <c r="A29" s="20">
        <v>45387.666666666664</v>
      </c>
      <c r="B29" s="15" t="s">
        <v>12</v>
      </c>
      <c r="C29" s="15" t="s">
        <v>17</v>
      </c>
      <c r="D29" s="2" t="s">
        <v>129</v>
      </c>
      <c r="E29" s="3">
        <v>598.39999999999998</v>
      </c>
      <c r="F29" s="3">
        <f t="shared" si="20"/>
        <v>119.68000000000001</v>
      </c>
      <c r="G29" s="3">
        <f t="shared" si="21"/>
        <v>718.07999999999993</v>
      </c>
      <c r="H29" s="4" t="s">
        <v>15</v>
      </c>
      <c r="I29">
        <v>1</v>
      </c>
      <c r="J29" s="3">
        <v>598.39999999999998</v>
      </c>
      <c r="K29" s="6"/>
      <c r="L29" s="5" t="e">
        <f t="shared" si="22"/>
        <v>#DIV/0!</v>
      </c>
      <c r="N29">
        <f t="shared" si="23"/>
        <v>2024</v>
      </c>
      <c r="O29">
        <f t="shared" si="24"/>
        <v>4</v>
      </c>
    </row>
    <row r="30">
      <c r="A30" s="20">
        <v>45389</v>
      </c>
      <c r="B30" s="15" t="s">
        <v>12</v>
      </c>
      <c r="C30" s="15" t="s">
        <v>13</v>
      </c>
      <c r="D30" s="19" t="s">
        <v>130</v>
      </c>
      <c r="E30" s="3">
        <f t="shared" ref="E30:E31" si="25">I30*J30</f>
        <v>596</v>
      </c>
      <c r="F30" s="3">
        <f t="shared" si="20"/>
        <v>119.2</v>
      </c>
      <c r="G30" s="3">
        <f t="shared" si="21"/>
        <v>715.20000000000005</v>
      </c>
      <c r="H30" s="4" t="s">
        <v>15</v>
      </c>
      <c r="I30">
        <v>1</v>
      </c>
      <c r="J30" s="16">
        <v>596</v>
      </c>
      <c r="K30" s="6"/>
      <c r="L30" s="5" t="e">
        <f t="shared" si="22"/>
        <v>#DIV/0!</v>
      </c>
      <c r="N30">
        <f t="shared" si="23"/>
        <v>2024</v>
      </c>
      <c r="O30">
        <f t="shared" si="24"/>
        <v>4</v>
      </c>
    </row>
    <row r="31">
      <c r="A31" s="20">
        <v>45401</v>
      </c>
      <c r="B31" s="15" t="s">
        <v>19</v>
      </c>
      <c r="C31" s="15" t="s">
        <v>13</v>
      </c>
      <c r="D31" s="2" t="s">
        <v>131</v>
      </c>
      <c r="E31" s="3">
        <f t="shared" si="25"/>
        <v>950</v>
      </c>
      <c r="F31" s="3">
        <v>0</v>
      </c>
      <c r="G31" s="3">
        <f t="shared" si="21"/>
        <v>950</v>
      </c>
      <c r="H31" s="4" t="s">
        <v>15</v>
      </c>
      <c r="I31" s="45">
        <v>2</v>
      </c>
      <c r="J31" s="5">
        <v>475</v>
      </c>
      <c r="K31" s="6"/>
      <c r="L31" s="5" t="e">
        <f t="shared" si="22"/>
        <v>#DIV/0!</v>
      </c>
      <c r="N31">
        <f t="shared" si="23"/>
        <v>2024</v>
      </c>
      <c r="O31">
        <f t="shared" si="24"/>
        <v>4</v>
      </c>
    </row>
    <row r="32">
      <c r="A32" s="20">
        <v>45410</v>
      </c>
      <c r="B32" s="15" t="s">
        <v>19</v>
      </c>
      <c r="C32" s="15" t="s">
        <v>17</v>
      </c>
      <c r="D32" s="2" t="s">
        <v>132</v>
      </c>
      <c r="E32" s="3">
        <f>2*450+4*475+1*450+475/2</f>
        <v>3487.5</v>
      </c>
      <c r="F32" s="3">
        <v>0</v>
      </c>
      <c r="G32" s="3">
        <f t="shared" si="21"/>
        <v>3487.5</v>
      </c>
      <c r="H32" s="4" t="s">
        <v>15</v>
      </c>
      <c r="I32">
        <v>6</v>
      </c>
      <c r="J32" s="67">
        <f t="shared" ref="J32:J33" si="26">E32/6</f>
        <v>581.25</v>
      </c>
      <c r="K32" s="6"/>
      <c r="L32" s="5" t="e">
        <f t="shared" si="22"/>
        <v>#DIV/0!</v>
      </c>
      <c r="N32">
        <f t="shared" si="23"/>
        <v>2024</v>
      </c>
      <c r="O32">
        <f t="shared" si="24"/>
        <v>4</v>
      </c>
    </row>
    <row r="33">
      <c r="A33" s="20">
        <v>45410</v>
      </c>
      <c r="B33" s="15" t="s">
        <v>12</v>
      </c>
      <c r="C33" s="15" t="s">
        <v>17</v>
      </c>
      <c r="D33" s="2" t="s">
        <v>133</v>
      </c>
      <c r="E33" s="3">
        <v>825</v>
      </c>
      <c r="F33" s="3">
        <f t="shared" si="20"/>
        <v>165</v>
      </c>
      <c r="G33" s="3">
        <f t="shared" si="21"/>
        <v>990</v>
      </c>
      <c r="H33" s="4" t="s">
        <v>15</v>
      </c>
      <c r="I33" s="18">
        <v>6</v>
      </c>
      <c r="J33" s="67">
        <f t="shared" si="26"/>
        <v>137.5</v>
      </c>
      <c r="K33" s="6"/>
      <c r="L33" s="5" t="e">
        <f t="shared" si="22"/>
        <v>#DIV/0!</v>
      </c>
      <c r="N33">
        <f t="shared" si="23"/>
        <v>2024</v>
      </c>
      <c r="O33">
        <f t="shared" si="24"/>
        <v>4</v>
      </c>
    </row>
    <row r="34">
      <c r="A34" s="20">
        <v>45412</v>
      </c>
      <c r="B34" s="15" t="s">
        <v>26</v>
      </c>
      <c r="C34" s="15" t="s">
        <v>13</v>
      </c>
      <c r="D34" s="2" t="s">
        <v>134</v>
      </c>
      <c r="E34" s="3">
        <f t="shared" ref="E34:E43" si="27">I34*J34</f>
        <v>6500</v>
      </c>
      <c r="F34" s="3">
        <f t="shared" si="20"/>
        <v>1300</v>
      </c>
      <c r="G34" s="3">
        <f t="shared" si="21"/>
        <v>7800</v>
      </c>
      <c r="H34" s="4" t="s">
        <v>15</v>
      </c>
      <c r="I34" s="45">
        <v>13</v>
      </c>
      <c r="J34" s="16">
        <v>500</v>
      </c>
      <c r="K34" s="6">
        <v>11</v>
      </c>
      <c r="L34" s="5">
        <f t="shared" si="22"/>
        <v>590.90909090909088</v>
      </c>
      <c r="M34" s="18"/>
      <c r="N34">
        <f t="shared" si="23"/>
        <v>2024</v>
      </c>
      <c r="O34">
        <f t="shared" si="24"/>
        <v>4</v>
      </c>
    </row>
    <row r="35">
      <c r="A35" s="20">
        <v>45418</v>
      </c>
      <c r="B35" s="15" t="s">
        <v>12</v>
      </c>
      <c r="C35" s="15" t="s">
        <v>13</v>
      </c>
      <c r="D35" s="19" t="s">
        <v>135</v>
      </c>
      <c r="E35" s="3">
        <f t="shared" si="27"/>
        <v>410.60000000000002</v>
      </c>
      <c r="F35" s="3">
        <f t="shared" si="20"/>
        <v>82.120000000000005</v>
      </c>
      <c r="G35" s="3">
        <f t="shared" si="21"/>
        <v>492.72000000000003</v>
      </c>
      <c r="H35" s="4" t="s">
        <v>15</v>
      </c>
      <c r="I35" s="45">
        <v>1</v>
      </c>
      <c r="J35" s="16">
        <v>410.60000000000002</v>
      </c>
      <c r="K35" s="6"/>
      <c r="L35" s="5" t="e">
        <f t="shared" si="22"/>
        <v>#DIV/0!</v>
      </c>
      <c r="N35">
        <f t="shared" si="23"/>
        <v>2024</v>
      </c>
      <c r="O35">
        <f t="shared" si="24"/>
        <v>5</v>
      </c>
    </row>
    <row r="36">
      <c r="A36" s="20">
        <v>45418</v>
      </c>
      <c r="B36" s="15" t="s">
        <v>12</v>
      </c>
      <c r="C36" s="15" t="s">
        <v>17</v>
      </c>
      <c r="D36" s="19" t="s">
        <v>136</v>
      </c>
      <c r="E36" s="3">
        <v>200</v>
      </c>
      <c r="F36" s="3">
        <f t="shared" si="20"/>
        <v>40</v>
      </c>
      <c r="G36" s="3">
        <f t="shared" si="21"/>
        <v>240</v>
      </c>
      <c r="H36" s="4" t="s">
        <v>15</v>
      </c>
      <c r="I36" s="45">
        <v>2</v>
      </c>
      <c r="J36" s="5">
        <v>750</v>
      </c>
      <c r="K36" s="6"/>
      <c r="L36" s="5" t="e">
        <f t="shared" si="22"/>
        <v>#DIV/0!</v>
      </c>
      <c r="N36">
        <f t="shared" si="23"/>
        <v>2024</v>
      </c>
      <c r="O36">
        <f t="shared" si="24"/>
        <v>5</v>
      </c>
    </row>
    <row r="37">
      <c r="A37" s="20">
        <v>45437.666666666664</v>
      </c>
      <c r="B37" s="15" t="s">
        <v>12</v>
      </c>
      <c r="C37" s="15" t="s">
        <v>17</v>
      </c>
      <c r="D37" s="19" t="s">
        <v>137</v>
      </c>
      <c r="E37" s="3">
        <v>1080</v>
      </c>
      <c r="F37" s="3">
        <f t="shared" si="20"/>
        <v>216</v>
      </c>
      <c r="G37" s="3">
        <f t="shared" si="21"/>
        <v>1296</v>
      </c>
      <c r="H37" s="4" t="s">
        <v>15</v>
      </c>
      <c r="I37" s="18">
        <v>2</v>
      </c>
      <c r="J37" s="5">
        <v>750</v>
      </c>
      <c r="K37" s="6"/>
      <c r="L37" s="5" t="e">
        <f t="shared" si="22"/>
        <v>#DIV/0!</v>
      </c>
      <c r="N37">
        <f t="shared" si="23"/>
        <v>2024</v>
      </c>
      <c r="O37">
        <f t="shared" si="24"/>
        <v>5</v>
      </c>
    </row>
    <row r="38">
      <c r="A38" s="20">
        <v>45441</v>
      </c>
      <c r="B38" s="15" t="s">
        <v>45</v>
      </c>
      <c r="C38" s="15" t="s">
        <v>17</v>
      </c>
      <c r="D38" s="2" t="s">
        <v>138</v>
      </c>
      <c r="E38" s="3">
        <v>1500</v>
      </c>
      <c r="F38" s="3">
        <v>0</v>
      </c>
      <c r="G38" s="3">
        <f t="shared" si="21"/>
        <v>1500</v>
      </c>
      <c r="H38" s="4" t="s">
        <v>15</v>
      </c>
      <c r="I38" s="18">
        <v>2</v>
      </c>
      <c r="J38" s="67">
        <v>750</v>
      </c>
      <c r="K38" s="6"/>
      <c r="L38" s="5" t="e">
        <f t="shared" si="22"/>
        <v>#DIV/0!</v>
      </c>
      <c r="M38" s="18"/>
      <c r="N38">
        <f t="shared" si="23"/>
        <v>2024</v>
      </c>
      <c r="O38">
        <f t="shared" si="24"/>
        <v>5</v>
      </c>
    </row>
    <row r="39">
      <c r="A39" s="20">
        <v>45443</v>
      </c>
      <c r="B39" s="15" t="s">
        <v>26</v>
      </c>
      <c r="C39" s="15" t="s">
        <v>13</v>
      </c>
      <c r="D39" s="2" t="s">
        <v>139</v>
      </c>
      <c r="E39" s="3">
        <f t="shared" si="27"/>
        <v>7500</v>
      </c>
      <c r="F39" s="3">
        <f t="shared" si="20"/>
        <v>1500</v>
      </c>
      <c r="G39" s="3">
        <f t="shared" si="21"/>
        <v>9000</v>
      </c>
      <c r="H39" s="4" t="s">
        <v>15</v>
      </c>
      <c r="I39" s="45">
        <v>15</v>
      </c>
      <c r="J39" s="16">
        <v>500</v>
      </c>
      <c r="K39" s="6">
        <v>13</v>
      </c>
      <c r="L39" s="5">
        <f t="shared" si="22"/>
        <v>576.92307692307691</v>
      </c>
      <c r="N39">
        <f t="shared" si="23"/>
        <v>2024</v>
      </c>
      <c r="O39">
        <f t="shared" si="24"/>
        <v>5</v>
      </c>
    </row>
    <row r="40">
      <c r="A40" s="20">
        <v>45443</v>
      </c>
      <c r="B40" s="15" t="s">
        <v>19</v>
      </c>
      <c r="C40" s="15" t="s">
        <v>17</v>
      </c>
      <c r="D40" s="2" t="s">
        <v>140</v>
      </c>
      <c r="E40" s="3">
        <v>4612.5</v>
      </c>
      <c r="F40" s="3">
        <v>0</v>
      </c>
      <c r="G40" s="3">
        <f t="shared" si="21"/>
        <v>4612.5</v>
      </c>
      <c r="H40" s="4" t="s">
        <v>15</v>
      </c>
      <c r="I40">
        <v>7</v>
      </c>
      <c r="J40" s="67">
        <f>E40/7</f>
        <v>658.92857142857144</v>
      </c>
      <c r="K40" s="6"/>
      <c r="L40" s="5" t="e">
        <f t="shared" si="22"/>
        <v>#DIV/0!</v>
      </c>
      <c r="M40" s="18"/>
      <c r="N40">
        <f t="shared" si="23"/>
        <v>2024</v>
      </c>
      <c r="O40">
        <f t="shared" si="24"/>
        <v>5</v>
      </c>
    </row>
    <row r="41">
      <c r="A41" s="20">
        <v>45447</v>
      </c>
      <c r="B41" s="15" t="s">
        <v>19</v>
      </c>
      <c r="C41" s="15" t="s">
        <v>13</v>
      </c>
      <c r="D41" s="2" t="s">
        <v>141</v>
      </c>
      <c r="E41" s="3">
        <f t="shared" si="27"/>
        <v>950</v>
      </c>
      <c r="F41" s="3">
        <v>0</v>
      </c>
      <c r="G41" s="3">
        <f t="shared" si="21"/>
        <v>950</v>
      </c>
      <c r="H41" s="4" t="s">
        <v>15</v>
      </c>
      <c r="I41">
        <v>2</v>
      </c>
      <c r="J41" s="5">
        <v>475</v>
      </c>
      <c r="K41" s="6"/>
      <c r="L41" s="5" t="e">
        <f t="shared" si="22"/>
        <v>#DIV/0!</v>
      </c>
      <c r="N41">
        <f t="shared" si="23"/>
        <v>2024</v>
      </c>
      <c r="O41">
        <f t="shared" si="24"/>
        <v>6</v>
      </c>
    </row>
    <row r="42">
      <c r="A42" s="20">
        <v>45448</v>
      </c>
      <c r="B42" s="15" t="s">
        <v>12</v>
      </c>
      <c r="C42" s="15" t="s">
        <v>17</v>
      </c>
      <c r="D42" s="2" t="s">
        <v>142</v>
      </c>
      <c r="E42" s="3">
        <v>355</v>
      </c>
      <c r="F42" s="3">
        <f t="shared" si="20"/>
        <v>71</v>
      </c>
      <c r="G42" s="3">
        <f t="shared" si="21"/>
        <v>426</v>
      </c>
      <c r="H42" s="4" t="s">
        <v>15</v>
      </c>
      <c r="I42">
        <v>2</v>
      </c>
      <c r="J42" s="5">
        <v>750</v>
      </c>
      <c r="K42" s="6"/>
      <c r="L42" s="5" t="e">
        <f t="shared" si="22"/>
        <v>#DIV/0!</v>
      </c>
      <c r="N42">
        <f t="shared" si="23"/>
        <v>2024</v>
      </c>
      <c r="O42">
        <f t="shared" si="24"/>
        <v>6</v>
      </c>
    </row>
    <row r="43">
      <c r="A43" s="20">
        <v>45448</v>
      </c>
      <c r="B43" s="15" t="s">
        <v>12</v>
      </c>
      <c r="C43" s="15" t="s">
        <v>13</v>
      </c>
      <c r="D43" s="19" t="s">
        <v>143</v>
      </c>
      <c r="E43" s="3">
        <f t="shared" si="27"/>
        <v>650.20000000000005</v>
      </c>
      <c r="F43" s="3">
        <f t="shared" si="20"/>
        <v>130.04000000000002</v>
      </c>
      <c r="G43" s="3">
        <f t="shared" si="21"/>
        <v>780.24000000000001</v>
      </c>
      <c r="H43" s="4" t="s">
        <v>15</v>
      </c>
      <c r="I43">
        <v>1</v>
      </c>
      <c r="J43" s="16">
        <v>650.20000000000005</v>
      </c>
      <c r="K43" s="6"/>
      <c r="L43" s="5" t="e">
        <f t="shared" si="22"/>
        <v>#DIV/0!</v>
      </c>
      <c r="N43">
        <f t="shared" si="23"/>
        <v>2024</v>
      </c>
      <c r="O43">
        <f t="shared" si="24"/>
        <v>6</v>
      </c>
    </row>
    <row r="44">
      <c r="A44" s="20">
        <v>45468</v>
      </c>
      <c r="B44" s="15" t="s">
        <v>45</v>
      </c>
      <c r="C44" s="15" t="s">
        <v>17</v>
      </c>
      <c r="D44" s="19" t="s">
        <v>144</v>
      </c>
      <c r="E44" s="3">
        <f>2*800</f>
        <v>1600</v>
      </c>
      <c r="F44" s="3">
        <v>0</v>
      </c>
      <c r="G44" s="3">
        <f t="shared" si="21"/>
        <v>1600</v>
      </c>
      <c r="H44" s="4" t="s">
        <v>15</v>
      </c>
      <c r="I44" s="45">
        <v>2</v>
      </c>
      <c r="J44" s="16">
        <v>800</v>
      </c>
      <c r="K44" s="6"/>
      <c r="L44" s="5" t="e">
        <f t="shared" si="22"/>
        <v>#DIV/0!</v>
      </c>
      <c r="N44">
        <f t="shared" si="23"/>
        <v>2024</v>
      </c>
      <c r="O44">
        <f t="shared" si="24"/>
        <v>6</v>
      </c>
    </row>
    <row r="45">
      <c r="A45" s="20">
        <v>45468</v>
      </c>
      <c r="B45" s="15" t="s">
        <v>107</v>
      </c>
      <c r="C45" s="15" t="s">
        <v>17</v>
      </c>
      <c r="D45" s="19" t="s">
        <v>145</v>
      </c>
      <c r="E45" s="3">
        <f t="shared" ref="E45:E46" si="28">I45*J45</f>
        <v>300</v>
      </c>
      <c r="F45" s="3">
        <f t="shared" si="20"/>
        <v>60</v>
      </c>
      <c r="G45" s="3">
        <f t="shared" si="21"/>
        <v>360</v>
      </c>
      <c r="H45" s="4" t="s">
        <v>15</v>
      </c>
      <c r="I45">
        <v>0.5</v>
      </c>
      <c r="J45" s="16">
        <v>600</v>
      </c>
      <c r="K45" s="6"/>
      <c r="L45" s="5" t="e">
        <f t="shared" si="22"/>
        <v>#DIV/0!</v>
      </c>
      <c r="N45">
        <f t="shared" si="23"/>
        <v>2024</v>
      </c>
      <c r="O45">
        <f t="shared" si="24"/>
        <v>6</v>
      </c>
    </row>
    <row r="46">
      <c r="A46" s="20">
        <v>45470</v>
      </c>
      <c r="B46" s="15" t="s">
        <v>26</v>
      </c>
      <c r="C46" s="15" t="s">
        <v>13</v>
      </c>
      <c r="D46" s="2" t="s">
        <v>146</v>
      </c>
      <c r="E46" s="3">
        <f t="shared" si="28"/>
        <v>7500</v>
      </c>
      <c r="F46" s="3">
        <f t="shared" si="20"/>
        <v>1500</v>
      </c>
      <c r="G46" s="3">
        <f t="shared" si="21"/>
        <v>9000</v>
      </c>
      <c r="H46" s="4" t="s">
        <v>15</v>
      </c>
      <c r="I46" s="45">
        <v>15</v>
      </c>
      <c r="J46" s="16">
        <v>500</v>
      </c>
      <c r="K46" s="6">
        <v>12</v>
      </c>
      <c r="L46" s="5">
        <f t="shared" si="22"/>
        <v>625</v>
      </c>
      <c r="N46">
        <f t="shared" si="23"/>
        <v>2024</v>
      </c>
      <c r="O46">
        <f t="shared" si="24"/>
        <v>6</v>
      </c>
    </row>
    <row r="47">
      <c r="A47" s="20">
        <v>45473</v>
      </c>
      <c r="B47" s="15" t="s">
        <v>19</v>
      </c>
      <c r="C47" s="15" t="s">
        <v>17</v>
      </c>
      <c r="D47" s="2" t="s">
        <v>147</v>
      </c>
      <c r="E47" s="3">
        <f>I47*J47+4*450</f>
        <v>6550</v>
      </c>
      <c r="F47" s="3">
        <v>0</v>
      </c>
      <c r="G47" s="3">
        <f t="shared" si="21"/>
        <v>6550</v>
      </c>
      <c r="H47" s="4" t="s">
        <v>15</v>
      </c>
      <c r="I47" s="45">
        <v>10</v>
      </c>
      <c r="J47" s="5">
        <v>475</v>
      </c>
      <c r="K47" s="6"/>
      <c r="L47" s="5" t="e">
        <f t="shared" si="22"/>
        <v>#DIV/0!</v>
      </c>
      <c r="N47">
        <f t="shared" si="23"/>
        <v>2024</v>
      </c>
      <c r="O47">
        <f t="shared" si="24"/>
        <v>6</v>
      </c>
    </row>
    <row r="48">
      <c r="A48" s="20">
        <v>45477</v>
      </c>
      <c r="B48" s="15" t="s">
        <v>22</v>
      </c>
      <c r="C48" s="15" t="s">
        <v>17</v>
      </c>
      <c r="D48" s="19" t="s">
        <v>148</v>
      </c>
      <c r="E48" s="3">
        <f t="shared" ref="E48:E53" si="29">I48*J48</f>
        <v>2400</v>
      </c>
      <c r="F48" s="3">
        <v>0</v>
      </c>
      <c r="G48" s="3">
        <f t="shared" si="21"/>
        <v>2400</v>
      </c>
      <c r="H48" s="4" t="s">
        <v>15</v>
      </c>
      <c r="I48" s="45">
        <v>2</v>
      </c>
      <c r="J48" s="5">
        <v>1200</v>
      </c>
      <c r="K48" s="6"/>
      <c r="L48" s="5" t="e">
        <f t="shared" si="22"/>
        <v>#DIV/0!</v>
      </c>
      <c r="N48">
        <f t="shared" si="23"/>
        <v>2024</v>
      </c>
      <c r="O48">
        <f t="shared" si="24"/>
        <v>7</v>
      </c>
    </row>
    <row r="49">
      <c r="A49" s="20">
        <v>45478</v>
      </c>
      <c r="B49" s="15" t="s">
        <v>12</v>
      </c>
      <c r="C49" s="15" t="s">
        <v>17</v>
      </c>
      <c r="D49" s="19" t="s">
        <v>149</v>
      </c>
      <c r="E49" s="3">
        <f t="shared" si="29"/>
        <v>287.5</v>
      </c>
      <c r="F49" s="3">
        <f t="shared" si="20"/>
        <v>57.5</v>
      </c>
      <c r="G49" s="3">
        <f t="shared" si="21"/>
        <v>345</v>
      </c>
      <c r="H49" s="4" t="s">
        <v>15</v>
      </c>
      <c r="I49">
        <v>1</v>
      </c>
      <c r="J49" s="5">
        <v>287.5</v>
      </c>
      <c r="K49" s="6"/>
      <c r="L49" s="5" t="e">
        <f t="shared" si="22"/>
        <v>#DIV/0!</v>
      </c>
      <c r="N49">
        <f t="shared" si="23"/>
        <v>2024</v>
      </c>
      <c r="O49">
        <f t="shared" si="24"/>
        <v>7</v>
      </c>
    </row>
    <row r="50">
      <c r="A50" s="20">
        <v>45478</v>
      </c>
      <c r="B50" s="15" t="s">
        <v>12</v>
      </c>
      <c r="C50" s="15" t="s">
        <v>13</v>
      </c>
      <c r="D50" s="19" t="s">
        <v>150</v>
      </c>
      <c r="E50" s="3">
        <f t="shared" si="29"/>
        <v>584.79999999999995</v>
      </c>
      <c r="F50" s="3">
        <f t="shared" si="20"/>
        <v>116.95999999999999</v>
      </c>
      <c r="G50" s="3">
        <f t="shared" si="21"/>
        <v>701.75999999999999</v>
      </c>
      <c r="H50" s="4" t="s">
        <v>15</v>
      </c>
      <c r="I50" s="45">
        <v>1</v>
      </c>
      <c r="J50" s="16">
        <v>584.79999999999995</v>
      </c>
      <c r="K50" s="6"/>
      <c r="L50" s="5" t="e">
        <f t="shared" si="22"/>
        <v>#DIV/0!</v>
      </c>
      <c r="N50">
        <f t="shared" si="23"/>
        <v>2024</v>
      </c>
      <c r="O50">
        <f t="shared" si="24"/>
        <v>7</v>
      </c>
    </row>
    <row r="51">
      <c r="A51" s="14">
        <v>45479</v>
      </c>
      <c r="B51" s="1" t="s">
        <v>151</v>
      </c>
      <c r="C51" s="15" t="s">
        <v>13</v>
      </c>
      <c r="D51" s="2" t="s">
        <v>152</v>
      </c>
      <c r="E51" s="3">
        <f t="shared" si="29"/>
        <v>500</v>
      </c>
      <c r="F51" s="3">
        <f t="shared" si="20"/>
        <v>100</v>
      </c>
      <c r="G51" s="3">
        <f t="shared" si="21"/>
        <v>600</v>
      </c>
      <c r="H51" s="4" t="s">
        <v>15</v>
      </c>
      <c r="I51" s="45">
        <v>1</v>
      </c>
      <c r="J51" s="5">
        <v>500</v>
      </c>
      <c r="K51" s="6"/>
      <c r="L51" s="5" t="e">
        <f t="shared" si="22"/>
        <v>#DIV/0!</v>
      </c>
      <c r="M51" s="18"/>
      <c r="N51">
        <f t="shared" si="23"/>
        <v>2024</v>
      </c>
      <c r="O51">
        <f t="shared" si="24"/>
        <v>7</v>
      </c>
    </row>
    <row r="52">
      <c r="A52" s="14">
        <v>45485</v>
      </c>
      <c r="B52" s="1" t="s">
        <v>151</v>
      </c>
      <c r="C52" s="15" t="s">
        <v>13</v>
      </c>
      <c r="D52" s="2" t="s">
        <v>153</v>
      </c>
      <c r="E52" s="3">
        <f t="shared" si="29"/>
        <v>250</v>
      </c>
      <c r="F52" s="3">
        <f t="shared" si="20"/>
        <v>50</v>
      </c>
      <c r="G52" s="3">
        <f t="shared" si="21"/>
        <v>300</v>
      </c>
      <c r="H52" s="4" t="s">
        <v>15</v>
      </c>
      <c r="I52" s="18">
        <v>0.5</v>
      </c>
      <c r="J52" s="5">
        <v>500</v>
      </c>
      <c r="K52" s="6"/>
      <c r="L52" s="5" t="e">
        <f t="shared" si="22"/>
        <v>#DIV/0!</v>
      </c>
      <c r="N52">
        <f t="shared" si="23"/>
        <v>2024</v>
      </c>
      <c r="O52">
        <f t="shared" si="24"/>
        <v>7</v>
      </c>
    </row>
    <row r="53">
      <c r="A53" s="20">
        <v>45495</v>
      </c>
      <c r="B53" s="15" t="s">
        <v>45</v>
      </c>
      <c r="C53" s="15" t="s">
        <v>17</v>
      </c>
      <c r="D53" s="2" t="s">
        <v>154</v>
      </c>
      <c r="E53" s="3">
        <f t="shared" si="29"/>
        <v>1600</v>
      </c>
      <c r="F53" s="3">
        <v>0</v>
      </c>
      <c r="G53" s="3">
        <f t="shared" si="21"/>
        <v>1600</v>
      </c>
      <c r="H53" s="4" t="s">
        <v>15</v>
      </c>
      <c r="I53" s="18">
        <v>2</v>
      </c>
      <c r="J53" s="5">
        <v>800</v>
      </c>
      <c r="K53" s="6"/>
      <c r="L53" s="5" t="e">
        <f t="shared" si="22"/>
        <v>#DIV/0!</v>
      </c>
      <c r="M53" s="18"/>
      <c r="N53">
        <f t="shared" si="23"/>
        <v>2024</v>
      </c>
      <c r="O53">
        <f t="shared" si="24"/>
        <v>7</v>
      </c>
    </row>
    <row r="54">
      <c r="A54" s="20">
        <v>45497</v>
      </c>
      <c r="B54" s="15" t="s">
        <v>22</v>
      </c>
      <c r="C54" s="15" t="s">
        <v>17</v>
      </c>
      <c r="D54" s="2" t="s">
        <v>155</v>
      </c>
      <c r="E54" s="3">
        <f>850+400</f>
        <v>1250</v>
      </c>
      <c r="F54" s="3">
        <v>0</v>
      </c>
      <c r="G54" s="3">
        <f t="shared" si="21"/>
        <v>1250</v>
      </c>
      <c r="H54" s="4" t="s">
        <v>15</v>
      </c>
      <c r="I54" s="18">
        <v>3</v>
      </c>
      <c r="J54" s="5">
        <v>1250</v>
      </c>
      <c r="K54" s="6"/>
      <c r="L54" s="5" t="e">
        <f t="shared" si="22"/>
        <v>#DIV/0!</v>
      </c>
      <c r="M54" s="18"/>
      <c r="N54">
        <f t="shared" si="23"/>
        <v>2024</v>
      </c>
      <c r="O54">
        <f t="shared" si="24"/>
        <v>7</v>
      </c>
    </row>
    <row r="55">
      <c r="A55" s="20">
        <v>45497</v>
      </c>
      <c r="B55" s="15" t="s">
        <v>107</v>
      </c>
      <c r="C55" s="15" t="s">
        <v>17</v>
      </c>
      <c r="D55" s="2" t="s">
        <v>156</v>
      </c>
      <c r="E55" s="3">
        <f>I55*J55</f>
        <v>300</v>
      </c>
      <c r="F55" s="3">
        <f t="shared" si="20"/>
        <v>60</v>
      </c>
      <c r="G55" s="3">
        <f t="shared" si="21"/>
        <v>360</v>
      </c>
      <c r="H55" s="4" t="s">
        <v>15</v>
      </c>
      <c r="I55">
        <v>0.5</v>
      </c>
      <c r="J55" s="16">
        <v>600</v>
      </c>
      <c r="K55" s="6"/>
      <c r="L55" s="5" t="e">
        <f t="shared" si="22"/>
        <v>#DIV/0!</v>
      </c>
      <c r="M55" s="18"/>
      <c r="N55">
        <f t="shared" si="23"/>
        <v>2024</v>
      </c>
      <c r="O55">
        <f t="shared" si="24"/>
        <v>7</v>
      </c>
    </row>
    <row r="56">
      <c r="A56" s="20">
        <v>45497</v>
      </c>
      <c r="B56" s="15" t="s">
        <v>19</v>
      </c>
      <c r="C56" s="15" t="s">
        <v>17</v>
      </c>
      <c r="D56" s="2" t="s">
        <v>157</v>
      </c>
      <c r="E56" s="3">
        <f>I56*J56+4*450</f>
        <v>6550</v>
      </c>
      <c r="F56" s="3">
        <v>0</v>
      </c>
      <c r="G56" s="3">
        <f t="shared" si="21"/>
        <v>6550</v>
      </c>
      <c r="H56" s="4" t="s">
        <v>15</v>
      </c>
      <c r="I56" s="18">
        <v>10</v>
      </c>
      <c r="J56" s="5">
        <v>475</v>
      </c>
      <c r="K56" s="6"/>
      <c r="L56" s="5" t="e">
        <f t="shared" si="22"/>
        <v>#DIV/0!</v>
      </c>
      <c r="N56">
        <f t="shared" si="23"/>
        <v>2024</v>
      </c>
      <c r="O56">
        <f t="shared" si="24"/>
        <v>7</v>
      </c>
    </row>
    <row r="57">
      <c r="A57" s="20">
        <v>45504</v>
      </c>
      <c r="B57" s="15" t="s">
        <v>26</v>
      </c>
      <c r="C57" s="15" t="s">
        <v>13</v>
      </c>
      <c r="D57" s="2" t="s">
        <v>158</v>
      </c>
      <c r="E57" s="3">
        <f>I57*J57</f>
        <v>9000</v>
      </c>
      <c r="F57" s="3">
        <f t="shared" si="20"/>
        <v>1800</v>
      </c>
      <c r="G57" s="3">
        <f t="shared" si="21"/>
        <v>10800</v>
      </c>
      <c r="H57" s="4" t="s">
        <v>15</v>
      </c>
      <c r="I57">
        <v>18</v>
      </c>
      <c r="J57" s="16">
        <v>500</v>
      </c>
      <c r="K57" s="6">
        <v>13</v>
      </c>
      <c r="L57" s="5">
        <f t="shared" si="22"/>
        <v>692.30769230769226</v>
      </c>
      <c r="N57">
        <f t="shared" si="23"/>
        <v>2024</v>
      </c>
      <c r="O57">
        <f t="shared" si="24"/>
        <v>7</v>
      </c>
    </row>
    <row r="58">
      <c r="A58" s="20">
        <v>45524</v>
      </c>
      <c r="B58" s="15" t="s">
        <v>12</v>
      </c>
      <c r="C58" s="15" t="s">
        <v>17</v>
      </c>
      <c r="D58" s="2" t="s">
        <v>159</v>
      </c>
      <c r="E58" s="3">
        <v>230</v>
      </c>
      <c r="F58" s="3">
        <f t="shared" si="20"/>
        <v>46</v>
      </c>
      <c r="G58" s="3">
        <f t="shared" si="21"/>
        <v>276</v>
      </c>
      <c r="H58" s="4" t="s">
        <v>15</v>
      </c>
      <c r="I58">
        <v>2</v>
      </c>
      <c r="J58" s="5">
        <v>750</v>
      </c>
      <c r="K58" s="6"/>
      <c r="L58" s="5" t="e">
        <f t="shared" si="22"/>
        <v>#DIV/0!</v>
      </c>
      <c r="N58">
        <f t="shared" si="23"/>
        <v>2024</v>
      </c>
      <c r="O58">
        <f t="shared" si="24"/>
        <v>8</v>
      </c>
    </row>
    <row r="59">
      <c r="A59" s="20">
        <v>45530</v>
      </c>
      <c r="B59" s="15" t="s">
        <v>12</v>
      </c>
      <c r="C59" s="15" t="s">
        <v>13</v>
      </c>
      <c r="D59" s="19" t="s">
        <v>160</v>
      </c>
      <c r="E59" s="3">
        <f t="shared" ref="E59:E63" si="30">I59*J59</f>
        <v>307.60000000000002</v>
      </c>
      <c r="F59" s="3">
        <f t="shared" si="20"/>
        <v>61.52000000000001</v>
      </c>
      <c r="G59" s="3">
        <f t="shared" si="21"/>
        <v>369.12</v>
      </c>
      <c r="H59" s="4" t="s">
        <v>15</v>
      </c>
      <c r="I59" s="45">
        <v>1</v>
      </c>
      <c r="J59" s="16">
        <v>307.60000000000002</v>
      </c>
      <c r="K59" s="6"/>
      <c r="L59" s="5" t="e">
        <f t="shared" si="22"/>
        <v>#DIV/0!</v>
      </c>
      <c r="N59">
        <f t="shared" si="23"/>
        <v>2024</v>
      </c>
      <c r="O59">
        <f t="shared" si="24"/>
        <v>8</v>
      </c>
    </row>
    <row r="60">
      <c r="A60" s="20">
        <v>45531</v>
      </c>
      <c r="B60" s="1" t="s">
        <v>19</v>
      </c>
      <c r="C60" s="15" t="s">
        <v>17</v>
      </c>
      <c r="D60" s="2" t="s">
        <v>161</v>
      </c>
      <c r="E60" s="3">
        <f t="shared" si="30"/>
        <v>950</v>
      </c>
      <c r="F60" s="3">
        <v>0</v>
      </c>
      <c r="G60" s="3">
        <f t="shared" si="21"/>
        <v>950</v>
      </c>
      <c r="H60" s="4" t="s">
        <v>15</v>
      </c>
      <c r="I60" s="45">
        <v>2</v>
      </c>
      <c r="J60" s="5">
        <v>475</v>
      </c>
      <c r="K60" s="6"/>
      <c r="L60" s="5" t="e">
        <f t="shared" si="22"/>
        <v>#DIV/0!</v>
      </c>
      <c r="N60">
        <f t="shared" si="23"/>
        <v>2024</v>
      </c>
      <c r="O60">
        <f t="shared" si="24"/>
        <v>8</v>
      </c>
    </row>
    <row r="61">
      <c r="A61" s="14">
        <v>45532</v>
      </c>
      <c r="B61" s="1" t="s">
        <v>22</v>
      </c>
      <c r="C61" s="1" t="s">
        <v>17</v>
      </c>
      <c r="D61" s="2" t="s">
        <v>162</v>
      </c>
      <c r="E61" s="3">
        <v>400</v>
      </c>
      <c r="F61" s="3">
        <v>0</v>
      </c>
      <c r="G61" s="3">
        <f t="shared" si="21"/>
        <v>400</v>
      </c>
      <c r="H61" s="4" t="s">
        <v>15</v>
      </c>
      <c r="I61" s="18">
        <v>0.5</v>
      </c>
      <c r="J61" s="5">
        <v>800</v>
      </c>
      <c r="K61" s="6"/>
      <c r="L61" s="5" t="e">
        <f t="shared" si="22"/>
        <v>#DIV/0!</v>
      </c>
      <c r="N61">
        <f t="shared" si="23"/>
        <v>2024</v>
      </c>
      <c r="O61">
        <f t="shared" si="24"/>
        <v>8</v>
      </c>
    </row>
    <row r="62">
      <c r="A62" s="20">
        <v>45532</v>
      </c>
      <c r="B62" s="15" t="s">
        <v>107</v>
      </c>
      <c r="C62" s="15" t="s">
        <v>17</v>
      </c>
      <c r="D62" s="19" t="s">
        <v>163</v>
      </c>
      <c r="E62" s="3">
        <f t="shared" si="30"/>
        <v>300</v>
      </c>
      <c r="F62" s="3">
        <f t="shared" si="20"/>
        <v>60</v>
      </c>
      <c r="G62" s="3">
        <f t="shared" si="21"/>
        <v>360</v>
      </c>
      <c r="H62" s="4" t="s">
        <v>15</v>
      </c>
      <c r="I62" s="18">
        <v>0.5</v>
      </c>
      <c r="J62" s="16">
        <v>600</v>
      </c>
      <c r="K62" s="6"/>
      <c r="L62" s="5" t="e">
        <f t="shared" si="22"/>
        <v>#DIV/0!</v>
      </c>
      <c r="N62">
        <f t="shared" si="23"/>
        <v>2024</v>
      </c>
      <c r="O62">
        <f t="shared" si="24"/>
        <v>8</v>
      </c>
    </row>
    <row r="63">
      <c r="A63" s="20">
        <v>45534</v>
      </c>
      <c r="B63" s="15" t="s">
        <v>26</v>
      </c>
      <c r="C63" s="15" t="s">
        <v>13</v>
      </c>
      <c r="D63" s="2" t="s">
        <v>164</v>
      </c>
      <c r="E63" s="3">
        <f t="shared" si="30"/>
        <v>3000</v>
      </c>
      <c r="F63" s="3">
        <f t="shared" si="20"/>
        <v>600</v>
      </c>
      <c r="G63" s="3">
        <f t="shared" si="21"/>
        <v>3600</v>
      </c>
      <c r="H63" s="4" t="s">
        <v>15</v>
      </c>
      <c r="I63" s="45">
        <v>6</v>
      </c>
      <c r="J63" s="16">
        <v>500</v>
      </c>
      <c r="K63" s="6">
        <v>6</v>
      </c>
      <c r="L63" s="5">
        <f t="shared" si="22"/>
        <v>500</v>
      </c>
      <c r="M63" s="18"/>
      <c r="N63">
        <f t="shared" si="23"/>
        <v>2024</v>
      </c>
      <c r="O63">
        <f t="shared" si="24"/>
        <v>8</v>
      </c>
    </row>
    <row r="64">
      <c r="A64" s="20">
        <v>45540</v>
      </c>
      <c r="B64" s="15" t="s">
        <v>12</v>
      </c>
      <c r="C64" s="15" t="s">
        <v>13</v>
      </c>
      <c r="D64" s="19" t="s">
        <v>165</v>
      </c>
      <c r="E64" s="3">
        <f>J64*I64</f>
        <v>213.59999999999999</v>
      </c>
      <c r="F64" s="3">
        <f t="shared" si="20"/>
        <v>42.719999999999999</v>
      </c>
      <c r="G64" s="3">
        <f t="shared" si="21"/>
        <v>256.31999999999999</v>
      </c>
      <c r="H64" s="4" t="s">
        <v>15</v>
      </c>
      <c r="I64" s="45">
        <v>1</v>
      </c>
      <c r="J64" s="16">
        <v>213.59999999999999</v>
      </c>
      <c r="K64" s="6"/>
      <c r="L64" s="5" t="e">
        <f t="shared" si="22"/>
        <v>#DIV/0!</v>
      </c>
      <c r="N64">
        <f t="shared" si="23"/>
        <v>2024</v>
      </c>
      <c r="O64">
        <f t="shared" si="24"/>
        <v>9</v>
      </c>
    </row>
    <row r="65">
      <c r="A65" s="20">
        <v>45545</v>
      </c>
      <c r="B65" s="1" t="s">
        <v>166</v>
      </c>
      <c r="C65" s="1" t="s">
        <v>13</v>
      </c>
      <c r="D65" s="2" t="s">
        <v>167</v>
      </c>
      <c r="E65" s="3">
        <f>J65*I65+483.64</f>
        <v>13283.639999999999</v>
      </c>
      <c r="F65" s="3">
        <f>0.2*J65*I65+48.36</f>
        <v>2608.3600000000001</v>
      </c>
      <c r="G65" s="3">
        <f t="shared" si="21"/>
        <v>15892</v>
      </c>
      <c r="H65" s="4" t="s">
        <v>15</v>
      </c>
      <c r="I65">
        <v>16</v>
      </c>
      <c r="J65" s="5">
        <v>800</v>
      </c>
      <c r="K65" s="6"/>
      <c r="L65" s="5" t="e">
        <f t="shared" si="22"/>
        <v>#DIV/0!</v>
      </c>
      <c r="N65">
        <f t="shared" si="23"/>
        <v>2024</v>
      </c>
      <c r="O65">
        <f t="shared" si="24"/>
        <v>9</v>
      </c>
    </row>
    <row r="66">
      <c r="A66" s="20">
        <v>45548</v>
      </c>
      <c r="B66" s="1" t="s">
        <v>19</v>
      </c>
      <c r="C66" s="15" t="s">
        <v>17</v>
      </c>
      <c r="D66" s="2" t="s">
        <v>168</v>
      </c>
      <c r="E66" s="3">
        <f t="shared" ref="E66:E83" si="31">I66*J66</f>
        <v>1400</v>
      </c>
      <c r="F66" s="3">
        <v>0</v>
      </c>
      <c r="G66" s="3">
        <f t="shared" si="21"/>
        <v>1400</v>
      </c>
      <c r="H66" s="4" t="s">
        <v>15</v>
      </c>
      <c r="I66" s="18">
        <v>2</v>
      </c>
      <c r="J66" s="5">
        <v>700</v>
      </c>
      <c r="K66" s="6"/>
      <c r="L66" s="5" t="e">
        <f t="shared" si="22"/>
        <v>#DIV/0!</v>
      </c>
      <c r="N66">
        <f t="shared" si="23"/>
        <v>2024</v>
      </c>
      <c r="O66">
        <f t="shared" si="24"/>
        <v>9</v>
      </c>
    </row>
    <row r="67">
      <c r="A67" s="20">
        <v>45553</v>
      </c>
      <c r="B67" s="1" t="s">
        <v>45</v>
      </c>
      <c r="C67" s="15" t="s">
        <v>17</v>
      </c>
      <c r="D67" s="2" t="s">
        <v>169</v>
      </c>
      <c r="E67" s="3">
        <f t="shared" si="31"/>
        <v>1300</v>
      </c>
      <c r="F67" s="3">
        <v>0</v>
      </c>
      <c r="G67" s="3">
        <f t="shared" si="21"/>
        <v>1300</v>
      </c>
      <c r="H67" s="4" t="s">
        <v>15</v>
      </c>
      <c r="I67" s="45">
        <v>2</v>
      </c>
      <c r="J67" s="16">
        <v>650</v>
      </c>
      <c r="K67" s="6"/>
      <c r="L67" s="5" t="e">
        <f t="shared" si="22"/>
        <v>#DIV/0!</v>
      </c>
      <c r="N67">
        <f t="shared" si="23"/>
        <v>2024</v>
      </c>
      <c r="O67">
        <f t="shared" si="24"/>
        <v>9</v>
      </c>
    </row>
    <row r="68">
      <c r="A68" s="20">
        <v>45554</v>
      </c>
      <c r="B68" s="1" t="s">
        <v>19</v>
      </c>
      <c r="C68" s="15" t="s">
        <v>17</v>
      </c>
      <c r="D68" s="2" t="s">
        <v>170</v>
      </c>
      <c r="E68" s="3">
        <f t="shared" si="31"/>
        <v>2375</v>
      </c>
      <c r="F68" s="3">
        <v>0</v>
      </c>
      <c r="G68" s="3">
        <f t="shared" si="21"/>
        <v>2375</v>
      </c>
      <c r="H68" s="4" t="s">
        <v>15</v>
      </c>
      <c r="I68">
        <v>5</v>
      </c>
      <c r="J68" s="5">
        <v>475</v>
      </c>
      <c r="K68" s="6"/>
      <c r="L68" s="5" t="e">
        <f t="shared" si="22"/>
        <v>#DIV/0!</v>
      </c>
      <c r="M68" s="18"/>
      <c r="N68" s="18">
        <f t="shared" si="23"/>
        <v>2024</v>
      </c>
      <c r="O68" s="18">
        <f t="shared" si="24"/>
        <v>9</v>
      </c>
    </row>
    <row r="69">
      <c r="A69" s="20">
        <v>45565</v>
      </c>
      <c r="B69" s="15" t="s">
        <v>26</v>
      </c>
      <c r="C69" s="15" t="s">
        <v>13</v>
      </c>
      <c r="D69" s="2" t="s">
        <v>171</v>
      </c>
      <c r="E69" s="3">
        <f t="shared" si="31"/>
        <v>7250</v>
      </c>
      <c r="F69" s="3">
        <f>0.2*E69</f>
        <v>1450</v>
      </c>
      <c r="G69" s="3">
        <f t="shared" si="21"/>
        <v>8700</v>
      </c>
      <c r="H69" s="4" t="s">
        <v>15</v>
      </c>
      <c r="I69">
        <v>14.5</v>
      </c>
      <c r="J69" s="16">
        <v>500</v>
      </c>
      <c r="K69" s="6">
        <v>11</v>
      </c>
      <c r="L69" s="5">
        <f t="shared" si="22"/>
        <v>659.09090909090912</v>
      </c>
      <c r="N69">
        <f t="shared" si="23"/>
        <v>2024</v>
      </c>
      <c r="O69">
        <f t="shared" si="24"/>
        <v>9</v>
      </c>
    </row>
    <row r="70">
      <c r="A70" s="14">
        <v>45566</v>
      </c>
      <c r="B70" s="1" t="s">
        <v>172</v>
      </c>
      <c r="C70" s="1" t="s">
        <v>17</v>
      </c>
      <c r="D70" s="2" t="s">
        <v>173</v>
      </c>
      <c r="E70" s="3">
        <f t="shared" si="31"/>
        <v>2850</v>
      </c>
      <c r="F70" s="3">
        <v>0</v>
      </c>
      <c r="G70" s="3">
        <f t="shared" si="21"/>
        <v>2850</v>
      </c>
      <c r="H70" s="4" t="s">
        <v>15</v>
      </c>
      <c r="I70">
        <v>3</v>
      </c>
      <c r="J70" s="5">
        <v>950</v>
      </c>
      <c r="K70" s="6"/>
      <c r="L70" s="5" t="e">
        <f t="shared" si="22"/>
        <v>#DIV/0!</v>
      </c>
      <c r="N70">
        <f t="shared" si="23"/>
        <v>2024</v>
      </c>
      <c r="O70">
        <f t="shared" si="24"/>
        <v>10</v>
      </c>
    </row>
    <row r="71">
      <c r="A71" s="14">
        <v>45566</v>
      </c>
      <c r="B71" s="1" t="s">
        <v>174</v>
      </c>
      <c r="C71" s="1" t="s">
        <v>17</v>
      </c>
      <c r="D71" s="2" t="s">
        <v>175</v>
      </c>
      <c r="E71" s="3">
        <f t="shared" si="31"/>
        <v>1900</v>
      </c>
      <c r="F71" s="3">
        <v>0</v>
      </c>
      <c r="G71" s="3">
        <f t="shared" si="21"/>
        <v>1900</v>
      </c>
      <c r="H71" s="4" t="s">
        <v>15</v>
      </c>
      <c r="I71" s="45">
        <v>2</v>
      </c>
      <c r="J71" s="5">
        <v>950</v>
      </c>
      <c r="K71" s="6"/>
      <c r="L71" s="5" t="e">
        <f t="shared" si="22"/>
        <v>#DIV/0!</v>
      </c>
      <c r="M71" s="18"/>
      <c r="N71">
        <f t="shared" si="23"/>
        <v>2024</v>
      </c>
      <c r="O71">
        <f t="shared" si="24"/>
        <v>10</v>
      </c>
    </row>
    <row r="72">
      <c r="A72" s="20">
        <v>45572</v>
      </c>
      <c r="B72" s="15" t="s">
        <v>12</v>
      </c>
      <c r="C72" s="15" t="s">
        <v>13</v>
      </c>
      <c r="D72" s="19" t="s">
        <v>176</v>
      </c>
      <c r="E72" s="3">
        <f t="shared" si="31"/>
        <v>193.40000000000001</v>
      </c>
      <c r="F72" s="3">
        <f>0.2*E72</f>
        <v>38.680000000000007</v>
      </c>
      <c r="G72" s="3">
        <f t="shared" si="21"/>
        <v>232.08000000000001</v>
      </c>
      <c r="H72" s="4" t="s">
        <v>15</v>
      </c>
      <c r="I72">
        <v>1</v>
      </c>
      <c r="J72" s="16">
        <v>193.40000000000001</v>
      </c>
      <c r="K72" s="6"/>
      <c r="L72" s="5" t="e">
        <f t="shared" si="22"/>
        <v>#DIV/0!</v>
      </c>
      <c r="N72">
        <f t="shared" si="23"/>
        <v>2024</v>
      </c>
      <c r="O72">
        <f t="shared" si="24"/>
        <v>10</v>
      </c>
    </row>
    <row r="73">
      <c r="A73" s="20">
        <v>45575</v>
      </c>
      <c r="B73" s="1" t="s">
        <v>19</v>
      </c>
      <c r="C73" s="15" t="s">
        <v>17</v>
      </c>
      <c r="D73" s="19" t="s">
        <v>177</v>
      </c>
      <c r="E73" s="3">
        <f t="shared" si="31"/>
        <v>1425</v>
      </c>
      <c r="F73" s="3">
        <v>0</v>
      </c>
      <c r="G73" s="3">
        <f t="shared" si="21"/>
        <v>1425</v>
      </c>
      <c r="H73" s="4" t="s">
        <v>15</v>
      </c>
      <c r="I73" s="18">
        <v>3</v>
      </c>
      <c r="J73" s="5">
        <v>475</v>
      </c>
      <c r="K73" s="6"/>
      <c r="L73" s="5" t="e">
        <f t="shared" si="22"/>
        <v>#DIV/0!</v>
      </c>
      <c r="N73">
        <f t="shared" si="23"/>
        <v>2024</v>
      </c>
      <c r="O73">
        <f t="shared" si="24"/>
        <v>10</v>
      </c>
    </row>
    <row r="74">
      <c r="A74" s="20">
        <v>45575</v>
      </c>
      <c r="B74" s="1" t="s">
        <v>166</v>
      </c>
      <c r="C74" s="1" t="s">
        <v>13</v>
      </c>
      <c r="D74" s="19" t="s">
        <v>178</v>
      </c>
      <c r="E74" s="3">
        <v>-40.310000000000002</v>
      </c>
      <c r="F74" s="3">
        <v>0</v>
      </c>
      <c r="G74" s="3">
        <v>0</v>
      </c>
      <c r="H74" s="4" t="s">
        <v>15</v>
      </c>
      <c r="I74" s="45">
        <v>0</v>
      </c>
      <c r="J74" s="16">
        <v>0</v>
      </c>
      <c r="K74" s="6"/>
      <c r="L74" s="5" t="e">
        <f t="shared" ref="L74:L99" si="32">E74/K74</f>
        <v>#DIV/0!</v>
      </c>
      <c r="N74">
        <f t="shared" ref="N74:N128" si="33">YEAR(A74)</f>
        <v>2024</v>
      </c>
      <c r="O74">
        <f t="shared" ref="O74:O128" si="34">MONTH(A74)</f>
        <v>10</v>
      </c>
    </row>
    <row r="75">
      <c r="A75" s="14">
        <v>45586</v>
      </c>
      <c r="B75" s="1" t="s">
        <v>22</v>
      </c>
      <c r="C75" s="1" t="s">
        <v>17</v>
      </c>
      <c r="D75" s="19" t="s">
        <v>179</v>
      </c>
      <c r="E75" s="3">
        <f t="shared" si="31"/>
        <v>800</v>
      </c>
      <c r="F75" s="3">
        <v>0</v>
      </c>
      <c r="G75" s="3">
        <f t="shared" ref="G74:G99" si="35">F75+E75</f>
        <v>800</v>
      </c>
      <c r="H75" s="4" t="s">
        <v>15</v>
      </c>
      <c r="I75">
        <v>1</v>
      </c>
      <c r="J75" s="5">
        <v>800</v>
      </c>
      <c r="K75" s="6"/>
      <c r="L75" s="5" t="e">
        <f t="shared" si="32"/>
        <v>#DIV/0!</v>
      </c>
      <c r="N75">
        <f t="shared" si="33"/>
        <v>2024</v>
      </c>
      <c r="O75">
        <f t="shared" si="34"/>
        <v>10</v>
      </c>
    </row>
    <row r="76">
      <c r="A76" s="20">
        <v>45589</v>
      </c>
      <c r="B76" s="15" t="s">
        <v>26</v>
      </c>
      <c r="C76" s="15" t="s">
        <v>13</v>
      </c>
      <c r="D76" s="2" t="s">
        <v>180</v>
      </c>
      <c r="E76" s="3">
        <f t="shared" si="31"/>
        <v>7000</v>
      </c>
      <c r="F76" s="3">
        <f>0.2*E76</f>
        <v>1400</v>
      </c>
      <c r="G76" s="3">
        <f t="shared" si="35"/>
        <v>8400</v>
      </c>
      <c r="H76" s="4" t="s">
        <v>15</v>
      </c>
      <c r="I76" s="45">
        <v>14</v>
      </c>
      <c r="J76" s="16">
        <v>500</v>
      </c>
      <c r="K76" s="6">
        <v>12</v>
      </c>
      <c r="L76" s="5">
        <f t="shared" si="32"/>
        <v>583.33333333333337</v>
      </c>
      <c r="N76">
        <f t="shared" si="33"/>
        <v>2024</v>
      </c>
      <c r="O76">
        <f t="shared" si="34"/>
        <v>10</v>
      </c>
    </row>
    <row r="77">
      <c r="A77" s="14">
        <v>45589</v>
      </c>
      <c r="B77" s="15" t="s">
        <v>19</v>
      </c>
      <c r="C77" s="15" t="s">
        <v>13</v>
      </c>
      <c r="D77" s="2" t="s">
        <v>181</v>
      </c>
      <c r="E77" s="3">
        <f t="shared" si="31"/>
        <v>1425</v>
      </c>
      <c r="F77" s="3">
        <v>0</v>
      </c>
      <c r="G77" s="3">
        <f t="shared" si="35"/>
        <v>1425</v>
      </c>
      <c r="H77" s="4" t="s">
        <v>15</v>
      </c>
      <c r="I77" s="18">
        <v>3</v>
      </c>
      <c r="J77" s="5">
        <v>475</v>
      </c>
      <c r="K77" s="6"/>
      <c r="L77" s="5" t="e">
        <f t="shared" si="32"/>
        <v>#DIV/0!</v>
      </c>
      <c r="N77">
        <f t="shared" si="33"/>
        <v>2024</v>
      </c>
      <c r="O77">
        <f t="shared" si="34"/>
        <v>10</v>
      </c>
    </row>
    <row r="78">
      <c r="A78" s="14">
        <v>45595</v>
      </c>
      <c r="B78" s="1" t="s">
        <v>16</v>
      </c>
      <c r="C78" s="1" t="s">
        <v>17</v>
      </c>
      <c r="D78" s="2" t="s">
        <v>182</v>
      </c>
      <c r="E78" s="3">
        <f t="shared" si="31"/>
        <v>2520</v>
      </c>
      <c r="F78" s="3">
        <v>0</v>
      </c>
      <c r="G78" s="3">
        <f t="shared" si="35"/>
        <v>2520</v>
      </c>
      <c r="H78" s="4" t="s">
        <v>15</v>
      </c>
      <c r="I78">
        <v>4</v>
      </c>
      <c r="J78" s="5">
        <v>630</v>
      </c>
      <c r="K78" s="6"/>
      <c r="L78" s="5" t="e">
        <f t="shared" si="32"/>
        <v>#DIV/0!</v>
      </c>
      <c r="N78">
        <f t="shared" si="33"/>
        <v>2024</v>
      </c>
      <c r="O78">
        <f t="shared" si="34"/>
        <v>10</v>
      </c>
    </row>
    <row r="79">
      <c r="A79" s="20">
        <v>45601</v>
      </c>
      <c r="B79" s="15" t="s">
        <v>12</v>
      </c>
      <c r="C79" s="15" t="s">
        <v>13</v>
      </c>
      <c r="D79" s="19" t="s">
        <v>183</v>
      </c>
      <c r="E79" s="3">
        <f t="shared" si="31"/>
        <v>294.69999999999999</v>
      </c>
      <c r="F79" s="3">
        <f>0.2*E79</f>
        <v>58.939999999999998</v>
      </c>
      <c r="G79" s="3">
        <f t="shared" si="35"/>
        <v>353.63999999999999</v>
      </c>
      <c r="H79" s="4" t="s">
        <v>15</v>
      </c>
      <c r="I79" s="45">
        <v>1</v>
      </c>
      <c r="J79" s="16">
        <v>294.69999999999999</v>
      </c>
      <c r="K79" s="6"/>
      <c r="L79" s="5" t="e">
        <f t="shared" si="32"/>
        <v>#DIV/0!</v>
      </c>
      <c r="N79">
        <f t="shared" si="33"/>
        <v>2024</v>
      </c>
      <c r="O79">
        <f t="shared" si="34"/>
        <v>11</v>
      </c>
    </row>
    <row r="80" ht="14.25">
      <c r="A80" s="14">
        <v>45603</v>
      </c>
      <c r="B80" s="1" t="s">
        <v>45</v>
      </c>
      <c r="C80" s="1" t="s">
        <v>17</v>
      </c>
      <c r="D80" s="19" t="s">
        <v>184</v>
      </c>
      <c r="E80" s="3">
        <f t="shared" si="31"/>
        <v>2250</v>
      </c>
      <c r="F80" s="3">
        <v>0</v>
      </c>
      <c r="G80" s="3">
        <f t="shared" si="35"/>
        <v>2250</v>
      </c>
      <c r="H80" s="4" t="s">
        <v>15</v>
      </c>
      <c r="I80" s="18">
        <v>3</v>
      </c>
      <c r="J80" s="5">
        <v>750</v>
      </c>
      <c r="K80" s="6"/>
      <c r="L80" s="5" t="e">
        <f t="shared" si="32"/>
        <v>#DIV/0!</v>
      </c>
      <c r="M80" s="18"/>
      <c r="N80">
        <f t="shared" si="33"/>
        <v>2024</v>
      </c>
      <c r="O80">
        <f t="shared" si="34"/>
        <v>11</v>
      </c>
    </row>
    <row r="81" ht="14.25">
      <c r="A81" s="14">
        <v>45614</v>
      </c>
      <c r="B81" s="1" t="s">
        <v>185</v>
      </c>
      <c r="C81" s="1" t="s">
        <v>17</v>
      </c>
      <c r="D81" s="2" t="s">
        <v>186</v>
      </c>
      <c r="E81" s="3">
        <f t="shared" si="31"/>
        <v>1960</v>
      </c>
      <c r="F81" s="3">
        <f>0.2*E81</f>
        <v>392</v>
      </c>
      <c r="G81" s="3">
        <f t="shared" si="35"/>
        <v>2352</v>
      </c>
      <c r="H81" s="4" t="s">
        <v>15</v>
      </c>
      <c r="I81">
        <v>4</v>
      </c>
      <c r="J81" s="5">
        <v>490</v>
      </c>
      <c r="K81" s="6"/>
      <c r="L81" s="5" t="e">
        <f t="shared" si="32"/>
        <v>#DIV/0!</v>
      </c>
      <c r="N81">
        <f t="shared" si="33"/>
        <v>2024</v>
      </c>
      <c r="O81">
        <f t="shared" si="34"/>
        <v>11</v>
      </c>
    </row>
    <row r="82" ht="14.25">
      <c r="A82" s="14">
        <v>45616</v>
      </c>
      <c r="B82" s="1" t="s">
        <v>45</v>
      </c>
      <c r="C82" s="1" t="s">
        <v>17</v>
      </c>
      <c r="D82" s="2" t="s">
        <v>187</v>
      </c>
      <c r="E82" s="3">
        <f t="shared" si="31"/>
        <v>1300</v>
      </c>
      <c r="F82" s="3">
        <v>0</v>
      </c>
      <c r="G82" s="3">
        <f t="shared" si="35"/>
        <v>1300</v>
      </c>
      <c r="H82" s="4" t="s">
        <v>15</v>
      </c>
      <c r="I82" s="45">
        <v>2</v>
      </c>
      <c r="J82" s="5">
        <v>650</v>
      </c>
      <c r="K82" s="6"/>
      <c r="L82" s="5" t="e">
        <f t="shared" si="32"/>
        <v>#DIV/0!</v>
      </c>
      <c r="N82">
        <f t="shared" si="33"/>
        <v>2024</v>
      </c>
      <c r="O82">
        <f t="shared" si="34"/>
        <v>11</v>
      </c>
    </row>
    <row r="83" ht="14.25">
      <c r="A83" s="14">
        <v>45616</v>
      </c>
      <c r="B83" s="15" t="s">
        <v>19</v>
      </c>
      <c r="C83" s="15" t="s">
        <v>13</v>
      </c>
      <c r="D83" s="2" t="s">
        <v>188</v>
      </c>
      <c r="E83" s="3">
        <f t="shared" si="31"/>
        <v>2375</v>
      </c>
      <c r="F83" s="3">
        <v>0</v>
      </c>
      <c r="G83" s="3">
        <f t="shared" si="35"/>
        <v>2375</v>
      </c>
      <c r="H83" s="4" t="s">
        <v>15</v>
      </c>
      <c r="I83" s="18">
        <v>5</v>
      </c>
      <c r="J83" s="5">
        <v>475</v>
      </c>
      <c r="K83" s="6"/>
      <c r="L83" s="5" t="e">
        <f t="shared" si="32"/>
        <v>#DIV/0!</v>
      </c>
      <c r="N83">
        <f t="shared" si="33"/>
        <v>2024</v>
      </c>
      <c r="O83">
        <f t="shared" si="34"/>
        <v>11</v>
      </c>
    </row>
    <row r="84" ht="14.25">
      <c r="A84" s="14">
        <v>45624</v>
      </c>
      <c r="B84" s="1" t="s">
        <v>19</v>
      </c>
      <c r="C84" s="1" t="s">
        <v>17</v>
      </c>
      <c r="D84" s="2" t="s">
        <v>189</v>
      </c>
      <c r="E84" s="3">
        <f>500+475</f>
        <v>975</v>
      </c>
      <c r="F84" s="3">
        <v>0</v>
      </c>
      <c r="G84" s="3">
        <f t="shared" si="35"/>
        <v>975</v>
      </c>
      <c r="H84" s="4" t="s">
        <v>15</v>
      </c>
      <c r="I84" s="18">
        <v>1</v>
      </c>
      <c r="J84" s="5">
        <v>500</v>
      </c>
      <c r="K84" s="6"/>
      <c r="L84" s="5" t="e">
        <f t="shared" si="32"/>
        <v>#DIV/0!</v>
      </c>
      <c r="N84">
        <f t="shared" si="33"/>
        <v>2024</v>
      </c>
      <c r="O84">
        <f t="shared" si="34"/>
        <v>11</v>
      </c>
    </row>
    <row r="85" ht="14.25">
      <c r="A85" s="14">
        <v>45624</v>
      </c>
      <c r="B85" s="1" t="s">
        <v>190</v>
      </c>
      <c r="C85" s="15" t="s">
        <v>17</v>
      </c>
      <c r="D85" s="2" t="s">
        <v>191</v>
      </c>
      <c r="E85" s="3">
        <f t="shared" ref="E85:E93" si="36">I85*J85</f>
        <v>8000</v>
      </c>
      <c r="F85" s="3">
        <f>0.2*E85</f>
        <v>1600</v>
      </c>
      <c r="G85" s="3">
        <f t="shared" si="35"/>
        <v>9600</v>
      </c>
      <c r="H85" s="4" t="s">
        <v>15</v>
      </c>
      <c r="I85">
        <v>10</v>
      </c>
      <c r="J85" s="5">
        <v>800</v>
      </c>
      <c r="K85" s="6"/>
      <c r="L85" s="5" t="e">
        <f t="shared" si="32"/>
        <v>#DIV/0!</v>
      </c>
      <c r="N85">
        <f t="shared" si="33"/>
        <v>2024</v>
      </c>
      <c r="O85">
        <f t="shared" si="34"/>
        <v>11</v>
      </c>
    </row>
    <row r="86" ht="14.25">
      <c r="A86" s="20">
        <v>45624</v>
      </c>
      <c r="B86" s="15" t="s">
        <v>50</v>
      </c>
      <c r="C86" s="15" t="s">
        <v>17</v>
      </c>
      <c r="D86" s="2" t="s">
        <v>192</v>
      </c>
      <c r="E86" s="3">
        <f t="shared" si="36"/>
        <v>600</v>
      </c>
      <c r="F86" s="3">
        <v>0</v>
      </c>
      <c r="G86" s="3">
        <f t="shared" si="35"/>
        <v>600</v>
      </c>
      <c r="H86" s="4" t="s">
        <v>15</v>
      </c>
      <c r="I86">
        <v>1</v>
      </c>
      <c r="J86" s="5">
        <v>600</v>
      </c>
      <c r="K86" s="6"/>
      <c r="L86" s="5" t="e">
        <f t="shared" si="32"/>
        <v>#DIV/0!</v>
      </c>
      <c r="N86">
        <f t="shared" si="33"/>
        <v>2024</v>
      </c>
      <c r="O86">
        <f t="shared" si="34"/>
        <v>11</v>
      </c>
    </row>
    <row r="87" ht="14.25">
      <c r="A87" s="20">
        <v>45625</v>
      </c>
      <c r="B87" s="15" t="s">
        <v>26</v>
      </c>
      <c r="C87" s="15" t="s">
        <v>13</v>
      </c>
      <c r="D87" s="2" t="s">
        <v>193</v>
      </c>
      <c r="E87" s="3">
        <f t="shared" si="36"/>
        <v>7500</v>
      </c>
      <c r="F87" s="3">
        <f t="shared" ref="F87:F97" si="37">0.2*E87</f>
        <v>1500</v>
      </c>
      <c r="G87" s="3">
        <f t="shared" si="35"/>
        <v>9000</v>
      </c>
      <c r="H87" s="4" t="s">
        <v>15</v>
      </c>
      <c r="I87">
        <v>15</v>
      </c>
      <c r="J87" s="16">
        <v>500</v>
      </c>
      <c r="K87" s="6">
        <v>12</v>
      </c>
      <c r="L87" s="5">
        <f t="shared" si="32"/>
        <v>625</v>
      </c>
      <c r="N87">
        <f t="shared" si="33"/>
        <v>2024</v>
      </c>
      <c r="O87">
        <f t="shared" si="34"/>
        <v>11</v>
      </c>
    </row>
    <row r="88" ht="14.25">
      <c r="A88" s="14">
        <v>45628</v>
      </c>
      <c r="B88" s="1" t="s">
        <v>39</v>
      </c>
      <c r="C88" s="15" t="s">
        <v>13</v>
      </c>
      <c r="D88" s="2" t="s">
        <v>194</v>
      </c>
      <c r="E88" s="3">
        <f t="shared" si="36"/>
        <v>5300</v>
      </c>
      <c r="F88" s="3">
        <f t="shared" si="37"/>
        <v>1060</v>
      </c>
      <c r="G88" s="3">
        <f t="shared" si="35"/>
        <v>6360</v>
      </c>
      <c r="H88" s="4" t="s">
        <v>15</v>
      </c>
      <c r="I88">
        <v>10</v>
      </c>
      <c r="J88" s="5">
        <v>530</v>
      </c>
      <c r="K88" s="6"/>
      <c r="L88" s="5" t="e">
        <f t="shared" si="32"/>
        <v>#DIV/0!</v>
      </c>
      <c r="N88">
        <f t="shared" si="33"/>
        <v>2024</v>
      </c>
      <c r="O88">
        <f t="shared" si="34"/>
        <v>12</v>
      </c>
    </row>
    <row r="89" ht="14.25">
      <c r="A89" s="14">
        <v>45628</v>
      </c>
      <c r="B89" s="1" t="s">
        <v>22</v>
      </c>
      <c r="C89" s="1" t="s">
        <v>17</v>
      </c>
      <c r="D89" s="2" t="s">
        <v>195</v>
      </c>
      <c r="E89" s="3">
        <f t="shared" si="36"/>
        <v>650</v>
      </c>
      <c r="F89" s="3">
        <v>0</v>
      </c>
      <c r="G89" s="3">
        <f t="shared" si="35"/>
        <v>650</v>
      </c>
      <c r="H89" s="4" t="s">
        <v>15</v>
      </c>
      <c r="I89">
        <v>1</v>
      </c>
      <c r="J89" s="5">
        <v>650</v>
      </c>
      <c r="K89" s="6"/>
      <c r="L89" s="5" t="e">
        <f t="shared" si="32"/>
        <v>#DIV/0!</v>
      </c>
      <c r="N89">
        <f t="shared" si="33"/>
        <v>2024</v>
      </c>
      <c r="O89">
        <f t="shared" si="34"/>
        <v>12</v>
      </c>
    </row>
    <row r="90" ht="14.25">
      <c r="A90" s="20">
        <v>45631</v>
      </c>
      <c r="B90" s="15" t="s">
        <v>12</v>
      </c>
      <c r="C90" s="15" t="s">
        <v>13</v>
      </c>
      <c r="D90" s="19" t="s">
        <v>196</v>
      </c>
      <c r="E90" s="3">
        <f t="shared" si="36"/>
        <v>227.40000000000001</v>
      </c>
      <c r="F90" s="3">
        <f t="shared" si="37"/>
        <v>45.480000000000004</v>
      </c>
      <c r="G90" s="3">
        <f t="shared" si="35"/>
        <v>272.88</v>
      </c>
      <c r="H90" s="4" t="s">
        <v>15</v>
      </c>
      <c r="I90" s="45">
        <v>1</v>
      </c>
      <c r="J90" s="16">
        <v>227.40000000000001</v>
      </c>
      <c r="K90" s="6"/>
      <c r="L90" s="5" t="e">
        <f t="shared" si="32"/>
        <v>#DIV/0!</v>
      </c>
      <c r="N90" s="18">
        <f t="shared" si="33"/>
        <v>2024</v>
      </c>
      <c r="O90">
        <f t="shared" si="34"/>
        <v>12</v>
      </c>
    </row>
    <row r="91" ht="14.25">
      <c r="A91" s="14">
        <v>45635</v>
      </c>
      <c r="B91" s="1" t="s">
        <v>22</v>
      </c>
      <c r="C91" s="1" t="s">
        <v>17</v>
      </c>
      <c r="D91" s="2" t="s">
        <v>197</v>
      </c>
      <c r="E91" s="3">
        <f t="shared" si="36"/>
        <v>800</v>
      </c>
      <c r="F91" s="3">
        <v>0</v>
      </c>
      <c r="G91" s="3">
        <f t="shared" si="35"/>
        <v>800</v>
      </c>
      <c r="H91" s="4" t="s">
        <v>15</v>
      </c>
      <c r="I91" s="18">
        <v>1</v>
      </c>
      <c r="J91" s="5">
        <v>800</v>
      </c>
      <c r="K91" s="6"/>
      <c r="L91" s="5" t="e">
        <f t="shared" si="32"/>
        <v>#DIV/0!</v>
      </c>
      <c r="N91" s="18">
        <f t="shared" si="33"/>
        <v>2024</v>
      </c>
      <c r="O91">
        <f t="shared" si="34"/>
        <v>12</v>
      </c>
    </row>
    <row r="92" ht="14.25">
      <c r="A92" s="14">
        <v>45635</v>
      </c>
      <c r="B92" s="1" t="s">
        <v>22</v>
      </c>
      <c r="C92" s="1" t="s">
        <v>17</v>
      </c>
      <c r="D92" s="2" t="s">
        <v>198</v>
      </c>
      <c r="E92" s="3">
        <f t="shared" si="36"/>
        <v>230</v>
      </c>
      <c r="F92" s="3">
        <v>0</v>
      </c>
      <c r="G92" s="3">
        <f t="shared" si="35"/>
        <v>230</v>
      </c>
      <c r="H92" s="4" t="s">
        <v>15</v>
      </c>
      <c r="I92">
        <v>1</v>
      </c>
      <c r="J92" s="5">
        <v>230</v>
      </c>
      <c r="K92" s="6"/>
      <c r="L92" s="5" t="e">
        <f t="shared" si="32"/>
        <v>#DIV/0!</v>
      </c>
      <c r="N92" s="18">
        <f t="shared" si="33"/>
        <v>2024</v>
      </c>
      <c r="O92">
        <f t="shared" si="34"/>
        <v>12</v>
      </c>
    </row>
    <row r="93" ht="14.25">
      <c r="A93" s="14">
        <v>45635</v>
      </c>
      <c r="B93" s="1" t="s">
        <v>22</v>
      </c>
      <c r="C93" s="1" t="s">
        <v>17</v>
      </c>
      <c r="D93" s="2" t="s">
        <v>199</v>
      </c>
      <c r="E93" s="3">
        <f t="shared" si="36"/>
        <v>420</v>
      </c>
      <c r="F93" s="3">
        <v>0</v>
      </c>
      <c r="G93" s="3">
        <f t="shared" si="35"/>
        <v>420</v>
      </c>
      <c r="H93" s="4" t="s">
        <v>15</v>
      </c>
      <c r="I93">
        <v>1</v>
      </c>
      <c r="J93" s="5">
        <v>420</v>
      </c>
      <c r="K93" s="6"/>
      <c r="L93" s="5" t="e">
        <f t="shared" si="32"/>
        <v>#DIV/0!</v>
      </c>
      <c r="N93" s="18">
        <f t="shared" si="33"/>
        <v>2024</v>
      </c>
      <c r="O93">
        <f t="shared" si="34"/>
        <v>12</v>
      </c>
    </row>
    <row r="94" ht="14.25">
      <c r="A94" s="14">
        <v>45637</v>
      </c>
      <c r="B94" s="1" t="s">
        <v>22</v>
      </c>
      <c r="C94" s="1" t="s">
        <v>17</v>
      </c>
      <c r="D94" s="2" t="s">
        <v>200</v>
      </c>
      <c r="E94" s="3">
        <f>I94*J94+325</f>
        <v>1045</v>
      </c>
      <c r="F94" s="3">
        <v>0</v>
      </c>
      <c r="G94" s="3">
        <f t="shared" si="35"/>
        <v>1045</v>
      </c>
      <c r="H94" s="4" t="s">
        <v>15</v>
      </c>
      <c r="I94" s="18">
        <v>1</v>
      </c>
      <c r="J94" s="3">
        <v>720</v>
      </c>
      <c r="K94" s="6"/>
      <c r="L94" s="5" t="e">
        <f t="shared" si="32"/>
        <v>#DIV/0!</v>
      </c>
      <c r="N94" s="18">
        <f t="shared" si="33"/>
        <v>2024</v>
      </c>
      <c r="O94">
        <f t="shared" si="34"/>
        <v>12</v>
      </c>
    </row>
    <row r="95" ht="14.25">
      <c r="A95" s="20">
        <v>45637</v>
      </c>
      <c r="B95" s="15" t="s">
        <v>50</v>
      </c>
      <c r="C95" s="15" t="s">
        <v>17</v>
      </c>
      <c r="D95" s="19" t="s">
        <v>201</v>
      </c>
      <c r="E95" s="3">
        <f t="shared" ref="E95:E99" si="38">I95*J95</f>
        <v>1200</v>
      </c>
      <c r="F95" s="3">
        <v>0</v>
      </c>
      <c r="G95" s="3">
        <f t="shared" si="35"/>
        <v>1200</v>
      </c>
      <c r="H95" s="4" t="s">
        <v>15</v>
      </c>
      <c r="I95" s="45">
        <v>2</v>
      </c>
      <c r="J95" s="5">
        <v>600</v>
      </c>
      <c r="K95" s="6"/>
      <c r="L95" s="5" t="e">
        <f t="shared" si="32"/>
        <v>#DIV/0!</v>
      </c>
      <c r="N95">
        <f t="shared" si="33"/>
        <v>2024</v>
      </c>
      <c r="O95">
        <f t="shared" si="34"/>
        <v>12</v>
      </c>
    </row>
    <row r="96" ht="14.25">
      <c r="A96" s="14">
        <v>45639</v>
      </c>
      <c r="B96" s="1" t="s">
        <v>45</v>
      </c>
      <c r="C96" s="1" t="s">
        <v>17</v>
      </c>
      <c r="D96" s="2" t="s">
        <v>202</v>
      </c>
      <c r="E96" s="3">
        <f t="shared" si="38"/>
        <v>1300</v>
      </c>
      <c r="F96" s="3">
        <v>0</v>
      </c>
      <c r="G96" s="3">
        <f t="shared" si="35"/>
        <v>1300</v>
      </c>
      <c r="H96" s="4" t="s">
        <v>15</v>
      </c>
      <c r="I96">
        <v>2</v>
      </c>
      <c r="J96" s="5">
        <v>650</v>
      </c>
      <c r="K96" s="6"/>
      <c r="L96" s="5" t="e">
        <f t="shared" si="32"/>
        <v>#DIV/0!</v>
      </c>
      <c r="N96">
        <f t="shared" si="33"/>
        <v>2024</v>
      </c>
      <c r="O96">
        <f t="shared" si="34"/>
        <v>12</v>
      </c>
    </row>
    <row r="97" ht="14.25">
      <c r="A97" s="14">
        <v>45642</v>
      </c>
      <c r="B97" s="1" t="s">
        <v>39</v>
      </c>
      <c r="C97" s="15" t="s">
        <v>13</v>
      </c>
      <c r="D97" s="2" t="s">
        <v>203</v>
      </c>
      <c r="E97" s="3">
        <f t="shared" si="38"/>
        <v>5300</v>
      </c>
      <c r="F97" s="3">
        <f t="shared" si="37"/>
        <v>1060</v>
      </c>
      <c r="G97" s="3">
        <f t="shared" si="35"/>
        <v>6360</v>
      </c>
      <c r="H97" s="4" t="s">
        <v>15</v>
      </c>
      <c r="I97">
        <v>10</v>
      </c>
      <c r="J97" s="5">
        <v>530</v>
      </c>
      <c r="K97" s="6"/>
      <c r="L97" s="5" t="e">
        <f t="shared" si="32"/>
        <v>#DIV/0!</v>
      </c>
      <c r="N97">
        <f t="shared" si="33"/>
        <v>2024</v>
      </c>
      <c r="O97">
        <f t="shared" si="34"/>
        <v>12</v>
      </c>
    </row>
    <row r="98" ht="14.25">
      <c r="A98" s="14">
        <v>45644</v>
      </c>
      <c r="B98" s="1" t="s">
        <v>16</v>
      </c>
      <c r="C98" s="1" t="s">
        <v>17</v>
      </c>
      <c r="D98" s="2" t="s">
        <v>204</v>
      </c>
      <c r="E98" s="3">
        <f t="shared" si="38"/>
        <v>1260</v>
      </c>
      <c r="F98" s="3">
        <v>0</v>
      </c>
      <c r="G98" s="3">
        <f t="shared" si="35"/>
        <v>1260</v>
      </c>
      <c r="H98" s="4" t="s">
        <v>15</v>
      </c>
      <c r="I98">
        <v>2</v>
      </c>
      <c r="J98" s="5">
        <v>630</v>
      </c>
      <c r="K98" s="6"/>
      <c r="L98" s="5" t="e">
        <f t="shared" si="32"/>
        <v>#DIV/0!</v>
      </c>
      <c r="N98">
        <f t="shared" si="33"/>
        <v>2024</v>
      </c>
      <c r="O98">
        <f t="shared" si="34"/>
        <v>12</v>
      </c>
    </row>
    <row r="99" ht="14.25">
      <c r="A99" s="14">
        <v>45644</v>
      </c>
      <c r="B99" s="1" t="s">
        <v>39</v>
      </c>
      <c r="C99" s="15" t="s">
        <v>13</v>
      </c>
      <c r="D99" s="2" t="s">
        <v>205</v>
      </c>
      <c r="E99" s="3">
        <f t="shared" si="38"/>
        <v>1575</v>
      </c>
      <c r="F99" s="3">
        <f>E99*0.2</f>
        <v>315</v>
      </c>
      <c r="G99" s="3">
        <f t="shared" si="35"/>
        <v>1890</v>
      </c>
      <c r="H99" s="4" t="s">
        <v>30</v>
      </c>
      <c r="I99">
        <v>3.5</v>
      </c>
      <c r="J99" s="5">
        <v>450</v>
      </c>
      <c r="K99" s="6"/>
      <c r="L99" s="5" t="e">
        <f t="shared" si="32"/>
        <v>#DIV/0!</v>
      </c>
      <c r="N99">
        <f t="shared" si="33"/>
        <v>2024</v>
      </c>
      <c r="O99">
        <f t="shared" si="34"/>
        <v>12</v>
      </c>
    </row>
    <row r="100" ht="14.25">
      <c r="A100" s="14">
        <v>45645</v>
      </c>
      <c r="B100" s="1" t="s">
        <v>45</v>
      </c>
      <c r="C100" s="1" t="s">
        <v>17</v>
      </c>
      <c r="D100" s="2" t="s">
        <v>206</v>
      </c>
      <c r="E100" s="3">
        <f t="shared" ref="E100:E103" si="39">I100*J100</f>
        <v>800</v>
      </c>
      <c r="F100" s="3">
        <v>0</v>
      </c>
      <c r="G100" s="3">
        <f t="shared" ref="G100:G103" si="40">F100+E100</f>
        <v>800</v>
      </c>
      <c r="H100" s="4" t="s">
        <v>15</v>
      </c>
      <c r="I100" s="18">
        <v>1</v>
      </c>
      <c r="J100" s="5">
        <v>800</v>
      </c>
      <c r="K100" s="6"/>
      <c r="L100" s="5" t="e">
        <f t="shared" ref="L100:L108" si="41">E100/K100</f>
        <v>#DIV/0!</v>
      </c>
      <c r="N100">
        <f t="shared" si="33"/>
        <v>2024</v>
      </c>
      <c r="O100">
        <f t="shared" si="34"/>
        <v>12</v>
      </c>
    </row>
    <row r="101" ht="14.25">
      <c r="A101" s="14">
        <v>45646</v>
      </c>
      <c r="B101" s="15" t="s">
        <v>19</v>
      </c>
      <c r="C101" s="15" t="s">
        <v>13</v>
      </c>
      <c r="D101" s="2" t="s">
        <v>207</v>
      </c>
      <c r="E101" s="3">
        <f t="shared" si="39"/>
        <v>950</v>
      </c>
      <c r="F101" s="3">
        <v>0</v>
      </c>
      <c r="G101" s="3">
        <f t="shared" si="40"/>
        <v>950</v>
      </c>
      <c r="H101" s="4" t="s">
        <v>15</v>
      </c>
      <c r="I101" s="18">
        <v>2</v>
      </c>
      <c r="J101" s="5">
        <v>475</v>
      </c>
      <c r="K101" s="6"/>
      <c r="L101" s="5" t="e">
        <f t="shared" si="41"/>
        <v>#DIV/0!</v>
      </c>
      <c r="N101">
        <f t="shared" si="33"/>
        <v>2024</v>
      </c>
      <c r="O101">
        <f t="shared" si="34"/>
        <v>12</v>
      </c>
    </row>
    <row r="102" ht="14.25">
      <c r="A102" s="20">
        <v>45646</v>
      </c>
      <c r="B102" s="1" t="s">
        <v>19</v>
      </c>
      <c r="C102" s="15" t="s">
        <v>17</v>
      </c>
      <c r="D102" s="2" t="s">
        <v>208</v>
      </c>
      <c r="E102" s="3">
        <f t="shared" si="39"/>
        <v>1900</v>
      </c>
      <c r="F102" s="3">
        <v>0</v>
      </c>
      <c r="G102" s="3">
        <f t="shared" si="40"/>
        <v>1900</v>
      </c>
      <c r="H102" s="4" t="s">
        <v>15</v>
      </c>
      <c r="I102" s="18">
        <v>4</v>
      </c>
      <c r="J102" s="5">
        <v>475</v>
      </c>
      <c r="K102" s="6"/>
      <c r="L102" s="5" t="e">
        <f t="shared" si="41"/>
        <v>#DIV/0!</v>
      </c>
      <c r="N102">
        <f t="shared" si="33"/>
        <v>2024</v>
      </c>
      <c r="O102">
        <f t="shared" si="34"/>
        <v>12</v>
      </c>
    </row>
    <row r="103" ht="14.25">
      <c r="A103" s="20">
        <v>45650</v>
      </c>
      <c r="B103" s="15" t="s">
        <v>26</v>
      </c>
      <c r="C103" s="15" t="s">
        <v>13</v>
      </c>
      <c r="D103" s="2" t="s">
        <v>209</v>
      </c>
      <c r="E103" s="3">
        <f t="shared" si="39"/>
        <v>6000</v>
      </c>
      <c r="F103" s="3">
        <f>0.2*E103</f>
        <v>1200</v>
      </c>
      <c r="G103" s="3">
        <f t="shared" si="40"/>
        <v>7200</v>
      </c>
      <c r="H103" s="4" t="s">
        <v>15</v>
      </c>
      <c r="I103">
        <v>12</v>
      </c>
      <c r="J103" s="16">
        <v>500</v>
      </c>
      <c r="K103" s="6">
        <v>12</v>
      </c>
      <c r="L103" s="5">
        <f t="shared" si="41"/>
        <v>500</v>
      </c>
      <c r="N103">
        <f t="shared" si="33"/>
        <v>2024</v>
      </c>
      <c r="O103">
        <f t="shared" si="34"/>
        <v>12</v>
      </c>
    </row>
    <row r="104" ht="14.25">
      <c r="E104" s="3"/>
      <c r="L104" s="5" t="e">
        <f t="shared" si="41"/>
        <v>#DIV/0!</v>
      </c>
      <c r="N104">
        <f t="shared" si="33"/>
        <v>1900</v>
      </c>
      <c r="O104">
        <f t="shared" si="34"/>
        <v>1</v>
      </c>
    </row>
    <row r="105" ht="14.25">
      <c r="L105" s="5" t="e">
        <f t="shared" si="41"/>
        <v>#DIV/0!</v>
      </c>
      <c r="N105">
        <f t="shared" si="33"/>
        <v>1900</v>
      </c>
      <c r="O105">
        <f t="shared" si="34"/>
        <v>1</v>
      </c>
    </row>
    <row r="106" ht="14.25">
      <c r="L106" s="5" t="e">
        <f t="shared" si="41"/>
        <v>#DIV/0!</v>
      </c>
      <c r="N106">
        <f t="shared" si="33"/>
        <v>1900</v>
      </c>
      <c r="O106">
        <f t="shared" si="34"/>
        <v>1</v>
      </c>
    </row>
    <row r="107" ht="14.25">
      <c r="L107" s="5" t="e">
        <f t="shared" si="41"/>
        <v>#DIV/0!</v>
      </c>
      <c r="N107">
        <f t="shared" si="33"/>
        <v>1900</v>
      </c>
      <c r="O107">
        <f t="shared" si="34"/>
        <v>1</v>
      </c>
    </row>
    <row r="108" ht="14.25">
      <c r="L108" s="5" t="e">
        <f t="shared" si="41"/>
        <v>#DIV/0!</v>
      </c>
      <c r="N108">
        <f t="shared" si="33"/>
        <v>1900</v>
      </c>
      <c r="O108">
        <f t="shared" si="34"/>
        <v>1</v>
      </c>
    </row>
    <row r="109" ht="14.25">
      <c r="L109" s="5"/>
      <c r="N109">
        <f t="shared" si="33"/>
        <v>1900</v>
      </c>
      <c r="O109">
        <f t="shared" si="34"/>
        <v>1</v>
      </c>
    </row>
    <row r="110" ht="14.25">
      <c r="N110">
        <f t="shared" si="33"/>
        <v>1900</v>
      </c>
      <c r="O110">
        <f t="shared" si="34"/>
        <v>1</v>
      </c>
    </row>
    <row r="111" ht="14.25">
      <c r="N111">
        <f t="shared" si="33"/>
        <v>1900</v>
      </c>
      <c r="O111">
        <f t="shared" si="34"/>
        <v>1</v>
      </c>
    </row>
    <row r="112" ht="14.25">
      <c r="N112">
        <f t="shared" si="33"/>
        <v>1900</v>
      </c>
      <c r="O112">
        <f t="shared" si="34"/>
        <v>1</v>
      </c>
    </row>
    <row r="113" ht="14.25">
      <c r="N113">
        <f t="shared" si="33"/>
        <v>1900</v>
      </c>
      <c r="O113">
        <f t="shared" si="34"/>
        <v>1</v>
      </c>
    </row>
    <row r="114" ht="14.25">
      <c r="N114">
        <f t="shared" si="33"/>
        <v>1900</v>
      </c>
      <c r="O114">
        <f t="shared" si="34"/>
        <v>1</v>
      </c>
    </row>
    <row r="115" ht="14.25">
      <c r="N115">
        <f t="shared" si="33"/>
        <v>1900</v>
      </c>
      <c r="O115">
        <f t="shared" si="34"/>
        <v>1</v>
      </c>
    </row>
    <row r="116" ht="14.25">
      <c r="N116">
        <f t="shared" si="33"/>
        <v>1900</v>
      </c>
      <c r="O116">
        <f t="shared" si="34"/>
        <v>1</v>
      </c>
    </row>
    <row r="117" ht="14.25">
      <c r="N117">
        <f t="shared" si="33"/>
        <v>1900</v>
      </c>
      <c r="O117">
        <f t="shared" si="34"/>
        <v>1</v>
      </c>
    </row>
    <row r="118" ht="14.25">
      <c r="N118">
        <f t="shared" si="33"/>
        <v>1900</v>
      </c>
      <c r="O118">
        <f t="shared" si="34"/>
        <v>1</v>
      </c>
    </row>
    <row r="119" ht="14.25">
      <c r="N119">
        <f t="shared" si="33"/>
        <v>1900</v>
      </c>
      <c r="O119">
        <f t="shared" si="34"/>
        <v>1</v>
      </c>
    </row>
    <row r="120" ht="14.25">
      <c r="N120">
        <f t="shared" si="33"/>
        <v>1900</v>
      </c>
      <c r="O120">
        <f t="shared" si="34"/>
        <v>1</v>
      </c>
    </row>
    <row r="121" ht="14.25">
      <c r="N121">
        <f t="shared" si="33"/>
        <v>1900</v>
      </c>
      <c r="O121">
        <f t="shared" si="34"/>
        <v>1</v>
      </c>
    </row>
    <row r="122" ht="14.25">
      <c r="N122">
        <f t="shared" si="33"/>
        <v>1900</v>
      </c>
      <c r="O122">
        <f t="shared" si="34"/>
        <v>1</v>
      </c>
    </row>
    <row r="123" ht="14.25">
      <c r="N123">
        <f t="shared" si="33"/>
        <v>1900</v>
      </c>
      <c r="O123">
        <f t="shared" si="34"/>
        <v>1</v>
      </c>
    </row>
    <row r="124" ht="14.25">
      <c r="N124">
        <f t="shared" si="33"/>
        <v>1900</v>
      </c>
      <c r="O124">
        <f t="shared" si="34"/>
        <v>1</v>
      </c>
    </row>
    <row r="125" ht="14.25">
      <c r="N125">
        <f t="shared" si="33"/>
        <v>1900</v>
      </c>
      <c r="O125">
        <f t="shared" si="34"/>
        <v>1</v>
      </c>
    </row>
    <row r="126" ht="14.25">
      <c r="N126">
        <f t="shared" si="33"/>
        <v>1900</v>
      </c>
      <c r="O126">
        <f t="shared" si="34"/>
        <v>1</v>
      </c>
    </row>
    <row r="127" ht="14.25">
      <c r="N127">
        <f t="shared" si="33"/>
        <v>1900</v>
      </c>
      <c r="O127">
        <f t="shared" si="34"/>
        <v>1</v>
      </c>
    </row>
    <row r="128" ht="14.25">
      <c r="N128">
        <f t="shared" si="33"/>
        <v>1900</v>
      </c>
      <c r="O128">
        <f t="shared" si="34"/>
        <v>1</v>
      </c>
    </row>
    <row r="129" ht="14.25">
      <c r="N129">
        <f t="shared" ref="N129:N133" si="42">YEAR(A129)</f>
        <v>1900</v>
      </c>
      <c r="O129">
        <f t="shared" ref="O129:O133" si="43">MONTH(A129)</f>
        <v>1</v>
      </c>
    </row>
    <row r="130" ht="14.25">
      <c r="N130">
        <f t="shared" si="42"/>
        <v>1900</v>
      </c>
      <c r="O130">
        <f t="shared" si="43"/>
        <v>1</v>
      </c>
    </row>
    <row r="131" ht="14.25">
      <c r="N131">
        <f t="shared" si="42"/>
        <v>1900</v>
      </c>
      <c r="O131">
        <f t="shared" si="43"/>
        <v>1</v>
      </c>
    </row>
    <row r="132" ht="14.25">
      <c r="N132">
        <f t="shared" si="42"/>
        <v>1900</v>
      </c>
      <c r="O132">
        <f t="shared" si="43"/>
        <v>1</v>
      </c>
    </row>
    <row r="133" ht="14.25">
      <c r="N133">
        <f t="shared" si="42"/>
        <v>1900</v>
      </c>
      <c r="O133">
        <f t="shared" si="43"/>
        <v>1</v>
      </c>
    </row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88" ht="14.25">
      <c r="F188" s="3"/>
    </row>
    <row r="190" ht="14.25">
      <c r="G190" s="3"/>
    </row>
    <row r="191" ht="14.25">
      <c r="G191" s="3"/>
    </row>
  </sheetData>
  <autoFilter ref="A1:L178">
    <sortState ref="A1:A178">
      <sortCondition descending="0" ref="A1:A178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06" operator="containsText" text="obj" id="{006E0067-00A0-4C6F-A6B6-005400D1004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705" operator="containsText" text="obj" id="{00360021-00C9-4C11-9B4E-006A0095009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704" operator="containsText" text="oui" id="{0029006A-0090-4CCC-83A2-007B00FD00E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703" operator="containsText" text="oui" id="{003E0026-00A1-4DF0-A0B1-0096008E00E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702" operator="containsText" text="prev" id="{00AB0050-00BC-4A1A-8275-0054007A007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701" operator="containsText" text="prev" id="{006A0098-00F7-4584-9A69-00D600BA005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700" operator="containsText" text="non" id="{008800EA-00C4-44A4-8059-005A001300F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699" operator="containsText" text="non" id="{00940081-00C9-4F22-920D-00A30081005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698" operator="containsText" text="obj" id="{00E30009-00C6-4092-8A2D-007600D6004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697" operator="containsText" text="non" id="{00CC006F-00DE-47D7-A319-004500E00081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697" operator="containsText" text="non" id="{00E0001D-0078-468D-870E-008E00C900F1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697" operator="containsText" text="non" id="{00CD00B0-00A5-4889-9C1C-002400C000F9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697" operator="containsText" text="non" id="{006E00F0-0034-46ED-BBD1-002B0026007B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697" operator="containsText" text="non" id="{000500B8-00E2-4314-8FF2-007300360014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7" operator="containsText" text="non" id="{00B80019-00B8-43BF-BEB0-009B004600AB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7" operator="containsText" text="non" id="{005E00CF-0084-47E2-A156-00D4003D0079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7" operator="containsText" text="non" id="{00430005-005C-4F2F-8E99-006B00FA00AA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7" operator="containsText" text="non" id="{000500AB-00E8-4F5A-8DE5-002F00780092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697" operator="containsText" text="non" id="{007800A6-0057-43FF-90B9-003E0046002E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697" operator="containsText" text="non" id="{00A800D4-004A-4FFE-9410-007A007A0094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697" operator="containsText" text="non" id="{002E00B7-0045-459C-89C7-004000400044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7" operator="containsText" text="non" id="{00FD001E-007F-41CE-81A9-00D400E600BE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697" operator="containsText" text="non" id="{0047003D-0090-49B3-9242-00EA005C00C6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697" operator="containsText" text="non" id="{004600B1-0092-4401-97AD-00BD00B7000A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697" operator="containsText" text="non" id="{00F4009C-0070-4136-BFC5-00B900F100D2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697" operator="containsText" text="non" id="{00B50022-002B-48EF-8756-000D00700057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697" operator="containsText" text="non" id="{00A80081-00B7-409D-AED6-007A000D0087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697" operator="containsText" text="non" id="{00A200B6-0061-40D0-9F40-00B0003E006F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697" operator="containsText" text="non" id="{0037007D-00AC-4EE0-9589-001000700052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697" operator="containsText" text="non" id="{003C00C1-007F-46B5-A76C-005D008A001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7" operator="containsText" text="non" id="{006200D2-00F7-4DF3-A476-0076003C008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697" operator="containsText" text="non" id="{003600A9-0089-42E4-BC47-00D300820036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7" operator="containsText" text="non" id="{00820011-003D-4C66-A0F4-00BF00B900F9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7" operator="containsText" text="non" id="{007A00B9-0050-4BEE-8E14-008E006E00C7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7" operator="containsText" text="non" id="{005D00E2-0076-4127-A27D-00A40030008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697" operator="containsText" text="non" id="{00380013-000D-483E-9A89-006400B500F9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697" operator="containsText" text="non" id="{00D700AF-0023-4410-9689-001200D300C6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697" operator="containsText" text="non" id="{001900FA-000E-428D-A2C1-0054003D0092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697" operator="containsText" text="non" id="{000E00C3-007B-4C15-8CBC-0099009F003E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697" operator="containsText" text="non" id="{00FA00A6-00FF-4434-B8DD-00EB00270030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697" operator="containsText" text="non" id="{006E00B9-00D6-46DC-8813-002700B800D2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697" operator="containsText" text="non" id="{005A00BA-00E8-471C-992C-00EE000E0013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697" operator="containsText" text="non" id="{00FE00AB-0082-44CE-B3EA-00BF00530087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697" operator="containsText" text="non" id="{006800D8-0013-4996-9C32-006D009700A9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697" operator="containsText" text="non" id="{00E80016-0003-48D5-81F5-004A00FF00CC}">
            <xm:f>NOT(ISERROR(SEARCH("non",H26)))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696" operator="containsText" text="prev" id="{00740087-0044-4FEC-B41A-00890004001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696" operator="containsText" text="prev" id="{00730064-00BC-44C9-A400-001100470097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696" operator="containsText" text="prev" id="{00B10051-0028-49E5-B4C9-005000D10053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696" operator="containsText" text="prev" id="{00B000E5-006F-489F-8F86-0059009B0027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696" operator="containsText" text="prev" id="{004A00D3-0065-49B2-9F05-00DE006E0073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6" operator="containsText" text="prev" id="{00F400E9-0014-43A1-883D-00B000E400AC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6" operator="containsText" text="prev" id="{0089007C-002F-4D62-AD54-00DE003900E6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6" operator="containsText" text="prev" id="{00B7001A-006B-4444-80B3-008600D500CB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6" operator="containsText" text="prev" id="{000A00D6-00EA-425E-9895-001600F800D9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696" operator="containsText" text="prev" id="{00800064-0069-499A-9343-0080008600CE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696" operator="containsText" text="prev" id="{003C008E-00C7-4C71-AE8E-004B004200A3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696" operator="containsText" text="prev" id="{00590097-00C1-417F-9B53-00A60014009C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6" operator="containsText" text="prev" id="{00660022-00BB-4D98-8D65-00E500AE00B9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696" operator="containsText" text="prev" id="{00AF005C-003A-4A0C-8166-00D600A2004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696" operator="containsText" text="prev" id="{000B002A-0042-416F-8289-00B400A7007C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696" operator="containsText" text="prev" id="{004B002F-0083-4791-932B-00EC00D00057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696" operator="containsText" text="prev" id="{00100030-0084-46CF-8391-00620014003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696" operator="containsText" text="prev" id="{00BC00E2-0048-4C40-AEDD-00EC00060027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696" operator="containsText" text="prev" id="{002F006A-00D3-41D8-BBF5-00A9009600EF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696" operator="containsText" text="prev" id="{000B0080-0035-49D9-BAAB-0006005600A4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696" operator="containsText" text="prev" id="{008E002A-0004-4267-AD48-00D400E3004A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6" operator="containsText" text="prev" id="{004D0006-00A3-4E5E-8A13-00C10016000A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696" operator="containsText" text="prev" id="{00270041-0016-4C83-8766-00AC00B00039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6" operator="containsText" text="prev" id="{00C70050-00DD-447D-8CC3-005D0047006C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6" operator="containsText" text="prev" id="{003400B6-000A-4A29-80F0-00E0002500C0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6" operator="containsText" text="prev" id="{005500CC-0085-411B-AC10-007E00780020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696" operator="containsText" text="prev" id="{00FA00E0-00A8-408E-8B97-006700780035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696" operator="containsText" text="prev" id="{00DB0034-0090-491A-8C22-003F003D00F0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696" operator="containsText" text="prev" id="{003F0012-00B9-4B1F-9A73-0003001400B5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696" operator="containsText" text="prev" id="{004B00A2-008A-4916-AABC-00BE00910031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696" operator="containsText" text="prev" id="{00A1008A-00E3-46B1-ABEB-000300090002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696" operator="containsText" text="prev" id="{000E0016-0042-4C59-A486-000E00C90020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696" operator="containsText" text="prev" id="{000400B5-00FF-4BD2-8D11-00ED00190057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696" operator="containsText" text="prev" id="{00FF00F1-00F3-4CFD-99F5-005100730090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696" operator="containsText" text="prev" id="{00F9004F-0019-40D8-A042-008F00F500FC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696" operator="containsText" text="prev" id="{00F7004B-004A-4FA0-BBA3-0034005D00E3}">
            <xm:f>NOT(ISERROR(SEARCH("prev",H26)))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695" operator="containsText" text="oui" id="{00C80039-0022-4737-89C4-006D00380063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695" operator="containsText" text="oui" id="{00790093-0060-477D-B00E-006E008A0096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695" operator="containsText" text="oui" id="{001F0026-0076-443C-B0EB-002700220055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695" operator="containsText" text="oui" id="{0007006A-00A6-41A4-BA05-005B005A00D3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695" operator="containsText" text="oui" id="{009000DE-0076-4BFA-828F-003D00D700DE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695" operator="containsText" text="oui" id="{000100F8-00B6-4DAC-BB1B-0023004C0001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695" operator="containsText" text="oui" id="{00680034-0055-4495-9952-002F001F00D9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695" operator="containsText" text="oui" id="{0014005C-0046-4636-AE6F-00DC008F00B0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695" operator="containsText" text="oui" id="{001000A8-0008-4D0F-87A4-002A0099001E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695" operator="containsText" text="oui" id="{005B0003-0087-4882-8792-008F00CB0055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695" operator="containsText" text="oui" id="{003700A3-00A4-4987-9820-0070003200A6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695" operator="containsText" text="oui" id="{00E4007E-00E8-4DC6-86EE-008C007F0033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695" operator="containsText" text="oui" id="{000600A1-00A4-40B1-8B9D-00FC00A80081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695" operator="containsText" text="oui" id="{005D004C-000A-4BB7-877A-00070030006F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695" operator="containsText" text="oui" id="{009400FB-003B-4960-A88A-009800BC003C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695" operator="containsText" text="oui" id="{00F00065-007B-466F-AE1C-00FD008700BB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695" operator="containsText" text="oui" id="{007400DB-0022-4705-B3CC-008100610024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695" operator="containsText" text="oui" id="{00290066-00B2-46ED-BB71-006600E20052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695" operator="containsText" text="oui" id="{00F40063-00E9-4B39-9344-00ED00FE006F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695" operator="containsText" text="oui" id="{000000D0-00DA-43DC-A1C8-007500610070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695" operator="containsText" text="oui" id="{00C500B5-00B0-4873-9CA1-00D50051003B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695" operator="containsText" text="oui" id="{003C00A9-0034-44CD-8538-00CE001B0093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695" operator="containsText" text="oui" id="{00F00060-006F-4C80-BD6C-000C00970032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5" operator="containsText" text="oui" id="{00EC00AD-00A1-49B0-93CB-00D000D600D0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5" operator="containsText" text="oui" id="{00C6002B-00E1-4533-A85A-002C008300F2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695" operator="containsText" text="oui" id="{00610006-00F0-4B2E-BF35-004600FA00FC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695" operator="containsText" text="oui" id="{005200F7-002D-4D82-80C3-00CD00120087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695" operator="containsText" text="oui" id="{005B00A0-00AD-4F69-8C6A-00FF00C80003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695" operator="containsText" text="oui" id="{00AA002A-00ED-43AE-A7BC-00C100CC0030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695" operator="containsText" text="oui" id="{00E70076-007B-4D60-9180-0074007000E7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695" operator="containsText" text="oui" id="{00740062-00E6-4471-B0E2-00EE0043008D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695" operator="containsText" text="oui" id="{003E0072-00C8-420E-AA2C-0028006100AE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695" operator="containsText" text="oui" id="{000800ED-00CC-4421-8A11-00A200340095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695" operator="containsText" text="oui" id="{006A0084-0094-4DDD-929E-001D0062003C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695" operator="containsText" text="oui" id="{000700BD-00DC-4159-BE27-007A007300D7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695" operator="containsText" text="oui" id="{0043008A-0090-40AE-8CD7-001E00E5003D}">
            <xm:f>NOT(ISERROR(SEARCH("oui",H26)))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665" operator="containsText" text="obj" id="{003500ED-0073-43F8-BAF4-0086002C00C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663" operator="containsText" text="obj" id="{0076001D-0056-469F-BDD3-00D2000B00D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661" operator="containsText" text="obj" id="{00B00029-007C-4A73-B422-00BF009700C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659" operator="containsText" text="obj" id="{009C0052-0087-42D8-8906-00FC0047006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655" operator="containsText" text="obj" id="{002100E1-006F-4E4C-8DD5-008200D800B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653" operator="containsText" text="obj" id="{00D30090-00F1-4A09-8B4A-00D400B3007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H22:H23</xm:sqref>
        </x14:conditionalFormatting>
        <x14:conditionalFormatting xmlns:xm="http://schemas.microsoft.com/office/excel/2006/main">
          <x14:cfRule type="containsText" priority="653" operator="containsText" text="obj" id="{002C00AB-001F-4ECB-8B87-00F5004F008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653" operator="containsText" text="obj" id="{00E200DB-008E-4D2F-BEA8-003C00A8006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H29 H30 H31 H32 H33 H34 H35 H36 H37 H38</xm:sqref>
        </x14:conditionalFormatting>
        <x14:conditionalFormatting xmlns:xm="http://schemas.microsoft.com/office/excel/2006/main">
          <x14:cfRule type="containsText" priority="650" operator="containsText" text="obj" id="{004700D4-006F-42CC-8A87-008E005D006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648" operator="containsText" text="obj" id="{002100FF-00F0-4999-9DB7-006000A8002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647" operator="containsText" text="obj" id="{007A0037-00C8-4D13-BF81-001C00F4003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644" operator="containsText" text="obj" id="{00680081-0093-4F01-9FFB-00B80073007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643" operator="containsText" text="obj" id="{00A20004-00F0-477F-B0DC-001B001000F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642" operator="containsText" text="obj" id="{00940053-00CD-4455-B0C0-00CE0064009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641" operator="containsText" text="obj" id="{00A8004F-00D6-4738-85CF-009F007000C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637" operator="containsText" text="obj" id="{008B00B3-00C8-419B-A7FE-00470007004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636" operator="containsText" text="obj" id="{005700FA-004C-4DBE-A480-004800CE00D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634" operator="containsText" text="obj" id="{0056009A-00DC-4D95-853F-008900C800B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614" operator="containsText" text="non" id="{0058002C-007A-4F0F-A2EA-002B0039004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610" operator="containsText" text="non" id="{001400A8-0056-463C-89D3-00A30073008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606" operator="containsText" text="non" id="{00EE003A-0066-483D-A870-006C00F1002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601" operator="containsText" text="non" id="{00EC001A-008F-499F-BDE5-00F400C3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596" operator="containsText" text="non" id="{00420030-009D-43C0-83BD-0070004500C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592" operator="containsText" text="non" id="{004E0061-0007-4129-B60C-005F00D3001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H22:H23</xm:sqref>
        </x14:conditionalFormatting>
        <x14:conditionalFormatting xmlns:xm="http://schemas.microsoft.com/office/excel/2006/main">
          <x14:cfRule type="containsText" priority="592" operator="containsText" text="non" id="{00620024-006B-4734-9995-003100CD00F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592" operator="containsText" text="non" id="{007000B9-0040-4CA8-A5A7-00260019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H29 H30 H31 H32 H33 H34 H35 H36 H37 H38</xm:sqref>
        </x14:conditionalFormatting>
        <x14:conditionalFormatting xmlns:xm="http://schemas.microsoft.com/office/excel/2006/main">
          <x14:cfRule type="containsText" priority="587" operator="containsText" text="non" id="{00D70087-0079-42C7-8D7B-0048002A008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582" operator="containsText" text="non" id="{00E600C4-0085-42EE-8528-002400E6004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577" operator="containsText" text="non" id="{008E00E9-0041-4660-8939-001C00F5005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571" operator="containsText" text="non" id="{00D40072-0015-464F-92ED-005B000F005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569" operator="containsText" text="non" id="{008000DD-00A1-4F34-AB0D-001A00BB003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567" operator="containsText" text="non" id="{00D9005C-00BA-4286-AF20-00F60001008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563" operator="containsText" text="non" id="{0014009D-0048-45BA-B438-005F007900A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555" operator="containsText" text="non" id="{004D007B-0088-410E-A3F1-001600F9005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551" operator="containsText" text="non" id="{00BE00F8-0030-4636-A844-00530095004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540" operator="containsText" text="non" id="{00580091-0091-42A9-85C2-003400EE003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525" operator="containsText" text="non" id="{009100D8-0005-4539-B63E-006800F1000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520" operator="containsText" text="non" id="{00BA0059-00B2-4C76-9D97-003700EE00F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518" operator="containsText" text="non" id="{000F003C-0029-41DD-869E-003100AC004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517" operator="containsText" text="non" id="{000C0019-0059-4802-969C-00C70071001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517" operator="containsText" text="non" id="{00850014-00A8-4187-B927-00D00081004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517" operator="containsText" text="non" id="{004600C6-00EB-45FE-9702-0092004C009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517" operator="containsText" text="non" id="{00390084-0000-4D21-80EC-00C400F8009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517" operator="containsText" text="non" id="{00EE007F-0014-4FA4-B1A4-00FA004B007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517" operator="containsText" text="non" id="{008D00A2-0086-4FF7-BA39-0072004F009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517" operator="containsText" text="non" id="{00B70017-0060-4E1F-982C-009A003400D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517" operator="containsText" text="non" id="{004D00B3-00B0-44DB-9D64-002C00DB005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517" operator="containsText" text="non" id="{0057008F-0040-40C2-87CC-00C000AE00F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517" operator="containsText" text="non" id="{005A0014-0016-4D87-B652-00740001008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517" operator="containsText" text="non" id="{00670021-0042-470F-8730-002B00AE004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517" operator="containsText" text="non" id="{00FA0045-0095-4BFE-8497-00E1004D001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517" operator="containsText" text="non" id="{00D5005C-0029-4E46-BF84-009A0006004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517" operator="containsText" text="non" id="{0030000C-0071-44E6-8668-005C00D0002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517" operator="containsText" text="non" id="{00960096-00BB-4379-A5E0-009A0037001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517" operator="containsText" text="non" id="{004F0000-00D4-4F0C-92BE-008E0077000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517" operator="containsText" text="non" id="{00EF00F5-00B1-41C4-9C14-0054009B00D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517" operator="containsText" text="non" id="{00E20098-00AD-47C3-9A7F-00A10052008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517" operator="containsText" text="non" id="{00F600F3-00A7-4BED-BCDD-0011003200E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517" operator="containsText" text="non" id="{002F007A-00FD-4C55-8ABA-00FC0081001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517" operator="containsText" text="non" id="{0001004B-0045-4480-896F-004F00CF009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517" operator="containsText" text="non" id="{007D003C-0002-4599-A153-006900EC009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517" operator="containsText" text="non" id="{00130018-00CD-46F4-ABFA-00DA004D003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517" operator="containsText" text="non" id="{00A900D4-00B8-4011-A105-003E0014004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517" operator="containsText" text="non" id="{00FF0009-0051-4F68-A5A2-00060023008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516" operator="containsText" text="non" id="{00A90055-0096-4574-8D99-00590072003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H49 H48</xm:sqref>
        </x14:conditionalFormatting>
        <x14:conditionalFormatting xmlns:xm="http://schemas.microsoft.com/office/excel/2006/main">
          <x14:cfRule type="containsText" priority="516" operator="containsText" text="non" id="{004C00EB-00E3-40FD-BC5B-00CB002F00E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516" operator="containsText" text="non" id="{006900B2-00C4-48E1-9E7F-00F0002900F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516" operator="containsText" text="non" id="{00480050-0079-430A-8DBC-007000B800E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516" operator="containsText" text="non" id="{00230009-0074-4B3F-83DB-001F00A900E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516" operator="containsText" text="non" id="{00AF00ED-00E6-48B7-98AB-00FB00D400A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516" operator="containsText" text="non" id="{008A0059-006A-40A2-8558-00B800DD000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516" operator="containsText" text="non" id="{002F0075-002A-4343-9D90-00DA00CA002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516" operator="containsText" text="non" id="{00AD0036-0099-4809-B31E-0090009400D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516" operator="containsText" text="non" id="{002600D4-003B-4417-B07B-004E0031006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516" operator="containsText" text="non" id="{001A0044-0070-4AF7-80E7-0017008C001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516" operator="containsText" text="non" id="{001D00AD-00BC-4549-95E8-0047001F003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516" operator="containsText" text="non" id="{00450006-0067-4BD7-86B9-0031003D005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516" operator="containsText" text="non" id="{00A800D7-003F-4F8F-936B-006A0054009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516" operator="containsText" text="non" id="{009900DC-00A7-4E5E-82D9-006200EE00C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516" operator="containsText" text="non" id="{0030002D-00C4-4FDF-A532-0017002300C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516" operator="containsText" text="non" id="{005E001E-0090-45C5-8B2E-0089005E000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516" operator="containsText" text="non" id="{0093001C-00E6-42C7-AA49-000F008800E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516" operator="containsText" text="non" id="{00EB00CB-0032-4425-9D6C-0055007E00D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516" operator="containsText" text="non" id="{00A90065-0028-4AA7-A3E3-00FB00E2005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516" operator="containsText" text="non" id="{006300AA-00A0-457E-9C2D-008200EE008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516" operator="containsText" text="non" id="{00730083-00F3-449F-9CE8-00D700B9002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516" operator="containsText" text="non" id="{00600082-0071-4F0A-8E5F-00A500D8007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516" operator="containsText" text="non" id="{002B00A3-00FA-40A5-8CF7-0095007D005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516" operator="containsText" text="non" id="{00EE00CA-0021-48C5-9E25-0077002500E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516" operator="containsText" text="non" id="{000500EC-0061-4094-81F7-00DE00A100D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516" operator="containsText" text="non" id="{005600A4-001F-4B02-9092-009C0091003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504" operator="containsText" text="non" id="{001B006D-00F4-4033-8137-00500039009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H23 H11 H15 H19:H20</xm:sqref>
        </x14:conditionalFormatting>
        <x14:conditionalFormatting xmlns:xm="http://schemas.microsoft.com/office/excel/2006/main">
          <x14:cfRule type="containsText" priority="503" operator="containsText" text="non" id="{00DF00CD-004C-4D05-AD28-008200E4001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H2:H8 H23 H11 H15 H19:H20</xm:sqref>
        </x14:conditionalFormatting>
        <x14:conditionalFormatting xmlns:xm="http://schemas.microsoft.com/office/excel/2006/main">
          <x14:cfRule type="containsText" priority="502" operator="containsText" text="non" id="{00450087-0044-410C-AAF6-005800AB00E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H106</xm:sqref>
        </x14:conditionalFormatting>
        <x14:conditionalFormatting xmlns:xm="http://schemas.microsoft.com/office/excel/2006/main">
          <x14:cfRule type="containsText" priority="491" operator="containsText" text="non" id="{00DF002E-002D-4A42-9036-0089002300D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475" operator="containsText" text="non" id="{008C00B5-008E-4673-857E-0021007F006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H123</xm:sqref>
        </x14:conditionalFormatting>
        <x14:conditionalFormatting xmlns:xm="http://schemas.microsoft.com/office/excel/2006/main">
          <x14:cfRule type="containsText" priority="472" operator="containsText" text="non" id="{00710058-0038-4284-AB92-006B0037007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H114</xm:sqref>
        </x14:conditionalFormatting>
        <x14:conditionalFormatting xmlns:xm="http://schemas.microsoft.com/office/excel/2006/main">
          <x14:cfRule type="containsText" priority="464" operator="containsText" text="non" id="{00CB0035-007A-4FF5-8C04-00F300B000E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464" operator="containsText" text="non" id="{005200BF-00D2-4BEC-9F0C-00A300BE009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464" operator="containsText" text="non" id="{00E10050-00A1-466E-A972-00EC00E0005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464" operator="containsText" text="non" id="{00D800CE-00B2-46F4-BBBD-005A00BC00D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453" operator="containsText" text="prev" id="{00D80022-00FC-473B-A6FE-00C700C1006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449" operator="containsText" text="prev" id="{00E900F9-0077-4F98-98B4-00B800C600B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445" operator="containsText" text="prev" id="{005F00A7-00FD-4686-8664-00AD00E5005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440" operator="containsText" text="prev" id="{00160086-0089-4AB3-AC38-00BB000100B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435" operator="containsText" text="prev" id="{0005005E-0090-4A4A-84D0-006D004D004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431" operator="containsText" text="prev" id="{00E500D7-00A5-408E-BDA4-00AC0016005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H22:H23</xm:sqref>
        </x14:conditionalFormatting>
        <x14:conditionalFormatting xmlns:xm="http://schemas.microsoft.com/office/excel/2006/main">
          <x14:cfRule type="containsText" priority="431" operator="containsText" text="prev" id="{003B0070-0053-4E81-87FE-00AB0084008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431" operator="containsText" text="prev" id="{0000001E-006F-4DB5-821F-00E9002C005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H29 H30 H31 H32 H33 H34 H35 H36 H37 H38</xm:sqref>
        </x14:conditionalFormatting>
        <x14:conditionalFormatting xmlns:xm="http://schemas.microsoft.com/office/excel/2006/main">
          <x14:cfRule type="containsText" priority="426" operator="containsText" text="prev" id="{0071000B-00E3-461B-B7B0-0085008B00B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421" operator="containsText" text="prev" id="{00E8006D-0036-4E5D-A52E-005F00B700F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416" operator="containsText" text="prev" id="{00C00077-006A-496C-9717-00F9001900B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410" operator="containsText" text="prev" id="{008B004B-00E6-49CF-851B-00C80060009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408" operator="containsText" text="prev" id="{00AE00FF-009D-4CB4-AF62-009200D1007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406" operator="containsText" text="prev" id="{004F009A-00A4-4A95-9321-0036005E005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402" operator="containsText" text="prev" id="{009300E9-0002-43FD-9F7B-008B009300B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394" operator="containsText" text="prev" id="{000A00BD-002A-4298-B3F4-00DF00B2006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390" operator="containsText" text="prev" id="{0041005E-0097-45EC-8B81-0098004F00F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379" operator="containsText" text="prev" id="{00F600DA-008D-4A39-B51F-00F3009500F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364" operator="containsText" text="prev" id="{00CA00B2-0008-4F68-8A4C-001F0065002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359" operator="containsText" text="prev" id="{00B7005D-00B9-47BB-BD6D-00FC009100B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356" operator="containsText" text="prev" id="{00820036-00C5-458C-9F73-006700F5000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355" operator="containsText" text="prev" id="{00D80089-00E6-48B7-9CEC-000C0029005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355" operator="containsText" text="prev" id="{006B007E-00A8-48B1-9ABA-00F600A8004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355" operator="containsText" text="prev" id="{003B00AC-001C-4133-B9BD-00BE007A003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355" operator="containsText" text="prev" id="{00330020-0066-4BD8-869D-00300013001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355" operator="containsText" text="prev" id="{005F001E-0050-4C13-9024-00C6002C008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355" operator="containsText" text="prev" id="{00F70015-0091-4DBD-9FDE-0013001500F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355" operator="containsText" text="prev" id="{0001007B-0098-4AEF-8D2F-00EC00D3000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355" operator="containsText" text="prev" id="{00A000B6-00BF-4511-BB19-009F00AB00A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355" operator="containsText" text="prev" id="{00C5005D-0005-4FCD-971C-00E7007D00E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55" operator="containsText" text="prev" id="{000E00CF-0084-4D02-B176-006F0070001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355" operator="containsText" text="prev" id="{00FE0048-00C8-4653-8D0E-004D00BB005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355" operator="containsText" text="prev" id="{00910025-0038-47A6-829F-008100E7007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355" operator="containsText" text="prev" id="{002C0047-00ED-4711-8123-0090000C00B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355" operator="containsText" text="prev" id="{0092006E-00D3-4D3A-8FD9-000400B6005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355" operator="containsText" text="prev" id="{00F700DF-0021-4884-89B8-00D900BB008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355" operator="containsText" text="prev" id="{004D003F-00A1-4D98-8F35-007C0060000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355" operator="containsText" text="prev" id="{001B00EA-0017-44BD-A93D-00CF00CF00A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355" operator="containsText" text="prev" id="{004F009A-00E9-4CC1-9715-007B00EE00C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355" operator="containsText" text="prev" id="{009C0020-000F-4F94-A303-0030007300A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355" operator="containsText" text="prev" id="{00EA0056-0089-4B3D-9B4C-004A009C007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355" operator="containsText" text="prev" id="{000A0031-0093-463C-BF49-00A80025005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355" operator="containsText" text="prev" id="{00390092-00AC-4395-AA92-001200AC008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355" operator="containsText" text="prev" id="{0042004F-0082-47D2-B07A-006200C3001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355" operator="containsText" text="prev" id="{007B0045-00A1-4122-9149-004B0099001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355" operator="containsText" text="prev" id="{0002000D-00C2-4380-B53F-009100ED00C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354" operator="containsText" text="prev" id="{00EA003D-00D7-4BCB-8010-0045001F006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H49 H48</xm:sqref>
        </x14:conditionalFormatting>
        <x14:conditionalFormatting xmlns:xm="http://schemas.microsoft.com/office/excel/2006/main">
          <x14:cfRule type="containsText" priority="354" operator="containsText" text="prev" id="{003F00AF-00EC-4E21-9B99-009D009F009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354" operator="containsText" text="prev" id="{00620023-00DF-4C9B-BF12-009A00FA008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354" operator="containsText" text="prev" id="{00E5004F-0072-4977-A13A-006500B400C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354" operator="containsText" text="prev" id="{00060046-0026-4E6B-958B-00E90094009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354" operator="containsText" text="prev" id="{00540025-0022-47CF-A40C-007300E300C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354" operator="containsText" text="prev" id="{006A001A-001E-4D9E-989E-00FB00BF001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354" operator="containsText" text="prev" id="{0082002F-0006-40F1-9FCA-00B7007F00D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354" operator="containsText" text="prev" id="{0003000C-0024-453E-A860-00DE0018009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354" operator="containsText" text="prev" id="{00BE002A-000E-40A1-908C-00E9007F000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54" operator="containsText" text="prev" id="{001700D6-0091-4444-A185-0077002600C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354" operator="containsText" text="prev" id="{002E0085-0091-4A94-A7E8-0061008D001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354" operator="containsText" text="prev" id="{008F00EB-0040-4F88-9C6D-0034006300A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354" operator="containsText" text="prev" id="{00B1001F-0090-41E3-8FE6-006600D500B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354" operator="containsText" text="prev" id="{00390012-00F2-4328-8BD6-001C009600B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354" operator="containsText" text="prev" id="{00AE0042-00C0-4F05-9605-003B0074008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354" operator="containsText" text="prev" id="{0077003B-0082-4BB7-88E6-00960077002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354" operator="containsText" text="prev" id="{00E800EB-00F7-4A32-873E-00D800A1005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354" operator="containsText" text="prev" id="{007A00EF-00F6-44FA-B21B-00E30008008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354" operator="containsText" text="prev" id="{000F001D-00D1-49EB-B0A6-008E002A006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354" operator="containsText" text="prev" id="{008D0076-00F6-4E36-9AEA-00BB00B4004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354" operator="containsText" text="prev" id="{00D400B2-00B3-4246-AC54-00C7004E009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354" operator="containsText" text="prev" id="{00F60030-0079-4E8C-8112-008A009600B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354" operator="containsText" text="prev" id="{00D7009D-0082-438F-8110-006500BE00A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354" operator="containsText" text="prev" id="{00E700F9-004D-474F-86A6-00D70058003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354" operator="containsText" text="prev" id="{002F00B6-0063-4574-9E89-00B100C1009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354" operator="containsText" text="prev" id="{005C007B-0014-47B9-850F-00E4004000F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342" operator="containsText" text="prev" id="{0099003A-0088-4263-911F-00EB00E000D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H23 H11 H15 H19:H20</xm:sqref>
        </x14:conditionalFormatting>
        <x14:conditionalFormatting xmlns:xm="http://schemas.microsoft.com/office/excel/2006/main">
          <x14:cfRule type="containsText" priority="341" operator="containsText" text="prev" id="{00FA0017-00FF-495E-AF53-0006001100E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H2:H8 H23 H11 H15 H19:H20</xm:sqref>
        </x14:conditionalFormatting>
        <x14:conditionalFormatting xmlns:xm="http://schemas.microsoft.com/office/excel/2006/main">
          <x14:cfRule type="containsText" priority="340" operator="containsText" text="prev" id="{00250063-0092-4B2B-9CF5-00DC00C800C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H106</xm:sqref>
        </x14:conditionalFormatting>
        <x14:conditionalFormatting xmlns:xm="http://schemas.microsoft.com/office/excel/2006/main">
          <x14:cfRule type="containsText" priority="339" operator="containsText" text="prev" id="{002F00E8-0026-455C-9C67-00AA004800D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H107</xm:sqref>
        </x14:conditionalFormatting>
        <x14:conditionalFormatting xmlns:xm="http://schemas.microsoft.com/office/excel/2006/main">
          <x14:cfRule type="containsText" priority="328" operator="containsText" text="prev" id="{003C0003-00CC-485B-B35E-009200D3000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313" operator="containsText" text="prev" id="{00C90036-0083-4908-B717-006C000900D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H123</xm:sqref>
        </x14:conditionalFormatting>
        <x14:conditionalFormatting xmlns:xm="http://schemas.microsoft.com/office/excel/2006/main">
          <x14:cfRule type="containsText" priority="311" operator="containsText" text="prev" id="{0077009C-0061-44A5-A766-00FD0012004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H120</xm:sqref>
        </x14:conditionalFormatting>
        <x14:conditionalFormatting xmlns:xm="http://schemas.microsoft.com/office/excel/2006/main">
          <x14:cfRule type="containsText" priority="310" operator="containsText" text="prev" id="{00730035-00EB-4E6C-8F52-0003004600A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H114</xm:sqref>
        </x14:conditionalFormatting>
        <x14:conditionalFormatting xmlns:xm="http://schemas.microsoft.com/office/excel/2006/main">
          <x14:cfRule type="containsText" priority="291" operator="containsText" text="oui" id="{00700056-00DF-4C93-8B1B-00DC00C700B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287" operator="containsText" text="oui" id="{009100BA-00E1-4846-B97E-00AB00C200E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283" operator="containsText" text="oui" id="{00C10010-00A4-4418-B251-000800B700F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278" operator="containsText" text="oui" id="{00BC00CA-00FC-4BFE-AB8B-00C7001300E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273" operator="containsText" text="oui" id="{006F00C6-002C-4286-9FC5-00D600A700C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containsText" priority="269" operator="containsText" text="oui" id="{004700C6-001A-4553-872C-0060007100E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H22:H23</xm:sqref>
        </x14:conditionalFormatting>
        <x14:conditionalFormatting xmlns:xm="http://schemas.microsoft.com/office/excel/2006/main">
          <x14:cfRule type="containsText" priority="269" operator="containsText" text="oui" id="{005E00AB-00F0-4D73-BDF0-00E000CE00D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269" operator="containsText" text="oui" id="{003100BF-0080-416E-8FAC-00B50072000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H29 H30 H31 H32 H33 H34 H35 H36 H37 H38</xm:sqref>
        </x14:conditionalFormatting>
        <x14:conditionalFormatting xmlns:xm="http://schemas.microsoft.com/office/excel/2006/main">
          <x14:cfRule type="containsText" priority="264" operator="containsText" text="oui" id="{00AF001C-004D-4BC1-98F5-00870095002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259" operator="containsText" text="oui" id="{00680059-00AA-4796-8246-00E4007C00B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254" operator="containsText" text="oui" id="{002D0049-00FD-4129-8E11-00520039007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248" operator="containsText" text="oui" id="{00A60010-00EF-417F-9C4E-003000FF007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246" operator="containsText" text="oui" id="{00A400F4-0070-44E5-BE05-00530097008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244" operator="containsText" text="oui" id="{00FB00EB-000F-4082-9437-00B600D800E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240" operator="containsText" text="oui" id="{00AA009F-0030-4A3A-8467-00E6003D004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232" operator="containsText" text="oui" id="{00420054-0099-4FBE-B72A-008900CF002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228" operator="containsText" text="oui" id="{000400B9-007B-4617-AF12-008700A7003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217" operator="containsText" text="oui" id="{00C600D1-0072-4E7E-A074-0087006F005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202" operator="containsText" text="oui" id="{00170094-00D7-43E8-8A99-003800B800A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197" operator="containsText" text="oui" id="{00E600A6-0019-4BB6-8381-00C5001D00A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95" operator="containsText" text="oui" id="{00FC00DC-00B5-43A8-A786-00FC002D00C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containsText" priority="194" operator="containsText" text="oui" id="{0084006A-00A4-4BD5-A4C0-00D30063002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94" operator="containsText" text="oui" id="{001F005B-0001-4A79-91F7-006D00A2005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94" operator="containsText" text="oui" id="{00FA00BB-0029-4639-9528-00830020001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194" operator="containsText" text="oui" id="{009100FB-00AE-476C-8014-00D200B7005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94" operator="containsText" text="oui" id="{00CF006A-009F-4D72-9FC9-003500CE001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94" operator="containsText" text="oui" id="{00F700D9-006F-40D9-82C6-001300D7004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94" operator="containsText" text="oui" id="{00DB00C3-0087-4E85-A09E-00CC005C008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94" operator="containsText" text="oui" id="{0054003C-00D4-4843-B8F6-00D90095003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94" operator="containsText" text="oui" id="{005100E4-00A4-4E10-B795-003A007100A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94" operator="containsText" text="oui" id="{00F6004C-00E4-4666-A667-000B00F7007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94" operator="containsText" text="oui" id="{00DD00A0-0082-419F-BEE1-00BF0018004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94" operator="containsText" text="oui" id="{00F000AE-00C3-4D4E-9130-00870079001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94" operator="containsText" text="oui" id="{00070095-00E9-488C-830D-000500E8003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94" operator="containsText" text="oui" id="{00C4003D-00A8-4684-80D0-005C00A000E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94" operator="containsText" text="oui" id="{0095003C-0029-407E-9C95-008900FC00C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94" operator="containsText" text="oui" id="{00BB00E1-009D-4587-9374-00EF00C300A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94" operator="containsText" text="oui" id="{00B10019-0095-43D0-A007-000000E7008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94" operator="containsText" text="oui" id="{00DD007F-0036-4A1D-81E9-00F90075003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94" operator="containsText" text="oui" id="{00D50047-0078-4132-A845-003C0008003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94" operator="containsText" text="oui" id="{0059007E-00A7-44D4-B78B-00C60036003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94" operator="containsText" text="oui" id="{00490010-0084-4413-AB23-006B007E008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94" operator="containsText" text="oui" id="{007300F3-0083-4040-872F-0004000900F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94" operator="containsText" text="oui" id="{00E20092-006B-4BA7-B1C7-0024002F008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94" operator="containsText" text="oui" id="{008E00CF-0023-4700-AD70-00A5005800A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94" operator="containsText" text="oui" id="{00B700FE-00FE-45BE-B097-00ED003A00A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93" operator="containsText" text="oui" id="{001000BA-00C0-4485-802F-00CD0002000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H49 H48</xm:sqref>
        </x14:conditionalFormatting>
        <x14:conditionalFormatting xmlns:xm="http://schemas.microsoft.com/office/excel/2006/main">
          <x14:cfRule type="containsText" priority="193" operator="containsText" text="oui" id="{00EC0079-0060-414A-8C2D-00CE00DF00E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93" operator="containsText" text="oui" id="{00E20047-0032-4141-AC05-0062001E00B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93" operator="containsText" text="oui" id="{003A00E2-0094-4433-BD69-00960035006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193" operator="containsText" text="oui" id="{0060002C-003C-4870-8C8C-008200B0009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93" operator="containsText" text="oui" id="{00130052-006F-4F5A-ACEB-00F600FA001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93" operator="containsText" text="oui" id="{005300B0-0014-41E7-AAB9-00CC00B5008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93" operator="containsText" text="oui" id="{007200B6-0061-47DB-A6B0-007E0047004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93" operator="containsText" text="oui" id="{009000E1-00B9-4A75-9781-008D0038001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93" operator="containsText" text="oui" id="{00D50021-0049-4947-AAD6-00F600D800B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93" operator="containsText" text="oui" id="{004B0038-0054-4802-857B-00A300EE00F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93" operator="containsText" text="oui" id="{002900E8-007D-4E18-84E8-00C700B7009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93" operator="containsText" text="oui" id="{00E300BB-008C-442F-919B-00AA007600B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93" operator="containsText" text="oui" id="{00F90080-0012-4CFB-9EEB-00F100B2006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93" operator="containsText" text="oui" id="{0013004D-0016-4E78-9E16-00DE0024000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93" operator="containsText" text="oui" id="{0048000E-0072-4992-ABB8-0089001400C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93" operator="containsText" text="oui" id="{00A900FA-002E-4545-9A7A-007300B900E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93" operator="containsText" text="oui" id="{00FE00D4-00D5-4EFE-A8A8-005400EB00E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93" operator="containsText" text="oui" id="{00960084-004E-43C9-8899-000100B200F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93" operator="containsText" text="oui" id="{0067003D-008A-407F-B1A8-007C000D006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93" operator="containsText" text="oui" id="{00BF0031-0079-47DE-9C89-007F00B0004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93" operator="containsText" text="oui" id="{00540061-006F-495B-B6D2-009A0086006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93" operator="containsText" text="oui" id="{00140081-0049-4BB1-93F0-00C50062002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93" operator="containsText" text="oui" id="{00CB003D-0046-4187-8CA5-000900FD005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93" operator="containsText" text="oui" id="{009B0093-0085-4336-A81A-005300BC00F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93" operator="containsText" text="oui" id="{00BE00BA-005F-4A9D-946C-00FE002E000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93" operator="containsText" text="oui" id="{001E0087-002A-41C8-85DD-00A9007F00C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81" operator="containsText" text="oui" id="{00CC0079-0032-40D6-B4CF-00F40090002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 H15 H19:H20 H23</xm:sqref>
        </x14:conditionalFormatting>
        <x14:conditionalFormatting xmlns:xm="http://schemas.microsoft.com/office/excel/2006/main">
          <x14:cfRule type="containsText" priority="180" operator="containsText" text="oui" id="{005D00BF-0034-4052-87B1-00A000CD00E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H2:H8 H11 H15 H19:H20 H23</xm:sqref>
        </x14:conditionalFormatting>
        <x14:conditionalFormatting xmlns:xm="http://schemas.microsoft.com/office/excel/2006/main">
          <x14:cfRule type="containsText" priority="179" operator="containsText" text="oui" id="{00DF00BD-007D-441D-A899-00C300BD006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H106</xm:sqref>
        </x14:conditionalFormatting>
        <x14:conditionalFormatting xmlns:xm="http://schemas.microsoft.com/office/excel/2006/main">
          <x14:cfRule type="containsText" priority="168" operator="containsText" text="oui" id="{00B700E2-00D9-4090-A9C3-0052006600F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152" operator="containsText" text="oui" id="{00F7000B-00DF-4909-828C-006600D7006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H123</xm:sqref>
        </x14:conditionalFormatting>
        <x14:conditionalFormatting xmlns:xm="http://schemas.microsoft.com/office/excel/2006/main">
          <x14:cfRule type="containsText" priority="149" operator="containsText" text="oui" id="{0041005B-00DB-4BDF-97C5-001C00AB00A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H114</xm:sqref>
        </x14:conditionalFormatting>
        <x14:conditionalFormatting xmlns:xm="http://schemas.microsoft.com/office/excel/2006/main">
          <x14:cfRule type="containsText" priority="141" operator="containsText" text="oui" id="{00970095-00FE-439B-8A97-0040001E009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41" operator="containsText" text="oui" id="{002900AC-003E-48C0-A1F7-005B00E7006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41" operator="containsText" text="oui" id="{009E0015-0073-48F2-A584-00680012001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41" operator="containsText" text="oui" id="{00A6003F-00F8-400D-9887-009D0031001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35" operator="containsText" text="oui" id="{00E2004A-00F1-467E-8A2D-005C0080001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H1:H2 H4:H8 H11 H15 H19:H20 H23 H39:H42 H45:H47 H48:H49 H52 H56 H71 H103:H178 H188:H1048576 H43 H79 H57 H58 H59 H60 H61 H62 H63 H64 H65 H65 H66 H67 H69 H70</xm:sqref>
        </x14:conditionalFormatting>
        <x14:conditionalFormatting xmlns:xm="http://schemas.microsoft.com/office/excel/2006/main">
          <x14:cfRule type="containsText" priority="135" operator="containsText" text="oui" id="{00F800C1-0084-48E3-816E-00D700A500D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35" operator="containsText" text="oui" id="{00BA0027-002C-469C-8C51-00160029009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35" operator="containsText" text="oui" id="{00D30010-00F8-4BBC-9962-00B800C4005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135" operator="containsText" text="oui" id="{003500D8-00D0-455D-939F-0086006C007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5" operator="containsText" text="oui" id="{00CA0051-008E-4E34-A9A2-00CD00B0007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35" operator="containsText" text="oui" id="{00F1000E-007A-4994-BCC4-0053006800B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35" operator="containsText" text="oui" id="{003600CE-006C-48BE-95A3-005C00C6003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35" operator="containsText" text="oui" id="{0099006C-0005-4024-A425-002C005400D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5" operator="containsText" text="oui" id="{007F00B3-0044-4DC8-9696-00F2003900B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5" operator="containsText" text="oui" id="{00BE0031-00E1-4A80-888B-00D3000600A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35" operator="containsText" text="oui" id="{00D3009C-0087-41FA-A049-00B9008D00A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5" operator="containsText" text="oui" id="{00830098-0075-4DCE-A936-000900C900D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5" operator="containsText" text="oui" id="{007B00F6-001F-42CF-A947-006C008B00A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5" operator="containsText" text="oui" id="{00520065-00EC-48AA-BDB1-00BB00C9002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5" operator="containsText" text="oui" id="{00800047-0054-44A5-8AF4-00B8001E007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5" operator="containsText" text="oui" id="{0075006E-0017-42C6-9A0E-007F0050001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5" operator="containsText" text="oui" id="{002000EC-00E2-4BFA-A09D-00EC00DA00A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5" operator="containsText" text="oui" id="{000E00A8-002B-4B94-9143-00C600A700A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5" operator="containsText" text="oui" id="{00D2006E-00C9-49B5-993E-00820060004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5" operator="containsText" text="oui" id="{00A70054-002C-4205-AACC-00BE00ED001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35" operator="containsText" text="oui" id="{00CF0021-0005-4623-B7B5-00190040000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5" operator="containsText" text="oui" id="{005C004F-00CE-4813-A8E4-002500E700A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5" operator="containsText" text="oui" id="{00B300B6-00B9-409A-8505-004B00D1002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A70053-00E7-4AA0-976C-0093007400A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5" operator="containsText" text="oui" id="{001F001A-00C9-4272-B33A-00A8006C002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35" operator="containsText" text="oui" id="{003C0020-00AF-400D-B5C1-0060003F00B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35" operator="containsText" text="oui" id="{00CC00CD-00D5-4425-8C19-001F006B008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35" operator="containsText" text="oui" id="{00700091-00CB-4E48-BBAA-00780060004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35" operator="containsText" text="oui" id="{00B400C9-00D5-4103-8723-00BB003A003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35" operator="containsText" text="oui" id="{0058005E-0099-46D8-A1C8-00780029001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5" operator="containsText" text="oui" id="{009C00F5-003F-4B53-BA55-0072007D000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5" operator="containsText" text="oui" id="{00710058-0018-4639-8D0A-0086006D00A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35" operator="containsText" text="oui" id="{00FC000A-00E4-47E8-B6D9-001B0013005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35" operator="containsText" text="oui" id="{0020003D-007C-431B-97A5-001E0082000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35" operator="containsText" text="oui" id="{008E00E9-003F-4AEE-B04F-004900AF00F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35" operator="containsText" text="oui" id="{00DA0056-00CE-4888-89FA-0076007000A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35" operator="containsText" text="oui" id="{006200C6-0039-4255-81B6-002F007100E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5" operator="containsText" text="oui" id="{005B00F7-0084-4C61-938A-004700E400B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135" operator="containsText" text="oui" id="{002C00B0-0091-4C80-B8A3-00A80041003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5" operator="containsText" text="oui" id="{00D70063-0068-46F5-A665-00120027000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5" operator="containsText" text="oui" id="{00880092-0066-45CC-85AC-00A0009300D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5" operator="containsText" text="oui" id="{00910007-0057-4F5E-AEA6-006000D9004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5" operator="containsText" text="oui" id="{00420045-0064-4C40-8064-00B300AF009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5" operator="containsText" text="oui" id="{00990057-002F-42BF-9B29-00CB0057008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5" operator="containsText" text="oui" id="{00A90017-005B-405E-9C0F-00C900F800C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5" operator="containsText" text="oui" id="{00670024-005C-4BCE-94F5-00550077003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5" operator="containsText" text="oui" id="{00C6008E-00C4-453B-9C97-007F00D7000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5" operator="containsText" text="oui" id="{004A0074-009E-4A88-8189-00470059001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5" operator="containsText" text="oui" id="{00CD009E-00F0-4998-ABB7-00D9003D009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5" operator="containsText" text="oui" id="{005C009C-0083-4850-8ACA-005F00F4006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5" operator="containsText" text="oui" id="{00FC005D-0036-49E0-9FBC-00A8001C005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5" operator="containsText" text="oui" id="{00D90062-004B-4C42-B3D1-00D700A4008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5" operator="containsText" text="oui" id="{009200EE-006C-412B-8AFD-00CE003B008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5" operator="containsText" text="oui" id="{002C000D-0064-49D1-8DBB-00C8004E006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35" operator="containsText" text="oui" id="{007A005D-0020-46EB-8017-00C300B5008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5" operator="containsText" text="oui" id="{000800DF-00F5-4B7F-A126-0092003400C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5" operator="containsText" text="oui" id="{007A00EE-0018-441A-9AC0-002A00AD003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5" operator="containsText" text="oui" id="{009B0064-0038-4F1B-892E-002B00B6006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5" operator="containsText" text="oui" id="{000B0053-0059-4C47-9721-00FC002700E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5" operator="containsText" text="oui" id="{000B0015-00F1-46DA-9DA9-001200E5008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5" operator="containsText" text="oui" id="{00BE0033-0055-4E58-AEE9-0067003F009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5" operator="containsText" text="oui" id="{008500C2-005B-4A97-889E-00F6005F000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5" operator="containsText" text="oui" id="{00A600D5-00B0-4518-A0F9-005D00BF008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5" operator="containsText" text="oui" id="{0078007B-00C8-46D9-9818-00B300E7009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135" operator="containsText" text="oui" id="{0044001E-0064-4A38-976C-003100E2000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35" operator="containsText" text="oui" id="{00F200E0-002D-4F70-BD37-006B001500C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35" operator="containsText" text="oui" id="{008400AB-0092-4BEE-BB90-00BC003D00E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35" operator="containsText" text="oui" id="{002E00CA-0070-4526-971C-00F4005E007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35" operator="containsText" text="oui" id="{002300CE-00AD-4A60-9158-008E00FB005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35" operator="containsText" text="oui" id="{00530024-005E-4F67-B02D-007E003900C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35" operator="containsText" text="oui" id="{00EC000E-0003-4673-84B8-005800E1009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35" operator="containsText" text="oui" id="{00C500B6-0009-4B72-B895-003F0002006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5" operator="containsText" text="oui" id="{00B40088-001E-44F2-A306-004F0045000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5" operator="containsText" text="oui" id="{00010012-000A-4665-A9A7-00E60007005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5" operator="containsText" text="oui" id="{00CF004B-0099-4C6E-B708-008B006A00E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35" operator="containsText" text="oui" id="{009800D3-000E-4A93-ABE1-0057008A009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35" operator="containsText" text="oui" id="{009800F9-0086-4441-961E-00FD0023005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35" operator="containsText" text="oui" id="{00D500F4-0069-4EE9-9B86-005700DF008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135" operator="containsText" text="oui" id="{00B50011-007E-4219-8511-0033007F00D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35" operator="containsText" text="oui" id="{00C90034-0097-4D76-B34D-00C30068000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35" operator="containsText" text="oui" id="{00450093-0007-4DB8-A27C-000E003200B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35" operator="containsText" text="oui" id="{002700A5-002B-4C53-9C39-003700EA00E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135" operator="containsText" text="oui" id="{005F0079-0079-4C57-AF7D-006800D800A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35" operator="containsText" text="oui" id="{008D0022-0030-4DD3-A2D4-00FB003C00E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35" operator="containsText" text="oui" id="{001E005F-001C-4D38-8F20-00880030006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135" operator="containsText" text="oui" id="{006D0081-0093-4DC2-A69D-00EE0096000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135" operator="containsText" text="oui" id="{00450022-00AA-4663-A2A5-003100E9006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35" operator="containsText" text="oui" id="{00B00047-00BF-484E-9241-009D001E00E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35" operator="containsText" text="oui" id="{00F20046-0029-40EC-98C2-00CA00D000F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135" operator="containsText" text="oui" id="{003400EE-00CD-4DC8-9F00-004C003500B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135" operator="containsText" text="oui" id="{00B0005F-001A-4DC9-8EFF-00F7001F00B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135" operator="containsText" text="oui" id="{00AC0036-00B1-42BC-B3C5-006A00FC003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135" operator="containsText" text="oui" id="{00E80060-001A-4D29-9110-00D40000008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35" operator="containsText" text="oui" id="{0031004C-0058-417A-903A-006A00AC004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35" operator="containsText" text="oui" id="{009600F1-00AA-455E-955C-004B0044007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35" operator="containsText" text="oui" id="{008E000E-0052-4C0D-9862-001C005B00A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35" operator="containsText" text="oui" id="{004C0063-005C-43FD-81A5-00FC00E2005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135" operator="containsText" text="oui" id="{009E00B3-00B1-4026-AD85-006400CD000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134" operator="containsText" text="prev" id="{004F00E9-00D1-44A8-B067-00DF00FE00F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H1:H2 H4:H8 H11 H15 H19:H20 H23 H39:H42 H45:H47 H48:H49 H52 H56 H71 H103:H178 H188:H1048576 H43 H79 H57 H58 H59 H60 H61 H62 H63 H64 H65 H65 H66 H67 H69 H70</xm:sqref>
        </x14:conditionalFormatting>
        <x14:conditionalFormatting xmlns:xm="http://schemas.microsoft.com/office/excel/2006/main">
          <x14:cfRule type="containsText" priority="134" operator="containsText" text="prev" id="{00A900C8-00C0-4457-8124-00B10005002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34" operator="containsText" text="prev" id="{002800EC-0087-4220-A31D-002400C400A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34" operator="containsText" text="prev" id="{00F60019-005E-4201-979E-00AB0050005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134" operator="containsText" text="prev" id="{00F60054-0032-44C9-ACC5-004900F8005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34" operator="containsText" text="prev" id="{00680037-00F7-4CC6-A921-002F0006003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34" operator="containsText" text="prev" id="{00380004-00F4-49E3-A0BA-0008005B00B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34" operator="containsText" text="prev" id="{006A003C-00CC-420D-809F-00B300AF004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34" operator="containsText" text="prev" id="{00F00084-00C4-43B8-B200-0070008600C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4" operator="containsText" text="prev" id="{006600F9-00B6-4FAB-B867-007E00B300C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4" operator="containsText" text="prev" id="{0039002C-0046-4FF5-AAC9-00420001001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34" operator="containsText" text="prev" id="{0070006D-00BC-4CAB-B03F-007F00DF00F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34" operator="containsText" text="prev" id="{006C00EA-0082-49A1-BE0A-00FE00DD004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4" operator="containsText" text="prev" id="{00300047-00F5-451F-BEFE-00FC0069003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34" operator="containsText" text="prev" id="{00C40025-0051-48CF-A4C3-0025008900F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4" operator="containsText" text="prev" id="{00A2004C-0033-4360-A9DE-00C600A4003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4" operator="containsText" text="prev" id="{0002001E-0087-40CC-9C0C-009D004A001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34" operator="containsText" text="prev" id="{00060040-0029-4210-BDFB-00E2001A00F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4" operator="containsText" text="prev" id="{00E70045-0017-4FB6-888D-00F20065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4" operator="containsText" text="prev" id="{005000BE-0010-463F-9984-00C4000C00B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34" operator="containsText" text="prev" id="{00D30029-0020-49E3-BBFE-0002005B005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34" operator="containsText" text="prev" id="{00E80051-0023-4E35-AEE6-00E3000C003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4" operator="containsText" text="prev" id="{00150026-00AF-4A5A-B684-00690043008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4" operator="containsText" text="prev" id="{0055004A-00F0-40FA-A350-003100EA00B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A70002-00A6-466C-8E0E-007D004C004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4" operator="containsText" text="prev" id="{009000D0-0042-4708-9F1B-00F100E5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34" operator="containsText" text="prev" id="{00A300F5-00F4-4CE8-A675-00CE0039008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34" operator="containsText" text="prev" id="{0062002E-00E8-4916-90B9-009E002600D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34" operator="containsText" text="prev" id="{00040048-0092-4B52-BE1B-009000AB003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34" operator="containsText" text="prev" id="{0002000F-00BC-427C-B206-00EC003A007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34" operator="containsText" text="prev" id="{00B10082-00D6-4ED2-824B-00E100DE00F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4" operator="containsText" text="prev" id="{003D0075-00B8-4D08-8C77-008A002000F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34" operator="containsText" text="prev" id="{001000BA-0027-4A98-B1CB-00DF0006006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34" operator="containsText" text="prev" id="{005900E0-009F-4F63-86DC-008F00A7006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34" operator="containsText" text="prev" id="{00950000-00BA-4898-B8C1-003800C1007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34" operator="containsText" text="prev" id="{00A70020-001E-4D43-8111-00A8008A00D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34" operator="containsText" text="prev" id="{008800CC-0017-4326-8B05-005D00FF002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34" operator="containsText" text="prev" id="{0078007B-0046-41FB-8999-0066005C00B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34" operator="containsText" text="prev" id="{00470034-00C8-466D-B9EA-00C700B3000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134" operator="containsText" text="prev" id="{001F003C-004A-4AFB-A039-002A00DD005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4" operator="containsText" text="prev" id="{006F00F7-00A8-4DB1-95E7-00DB0099004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4" operator="containsText" text="prev" id="{00AB0077-000D-4DA3-B75C-0091005D000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34" operator="containsText" text="prev" id="{00590075-007F-4F06-80C7-004A003E00C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4" operator="containsText" text="prev" id="{00320076-002B-49E9-ABDE-00EE009F005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4" operator="containsText" text="prev" id="{00FD00E5-0099-4BF9-97B2-00A2005100C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34" operator="containsText" text="prev" id="{00440045-0073-4683-804A-00FC007600F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4" operator="containsText" text="prev" id="{006B0011-00E7-480F-BC5E-00720090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4" operator="containsText" text="prev" id="{00EF00A3-0038-4C2B-9C87-00C20000008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4" operator="containsText" text="prev" id="{00D50080-004A-4BDE-A04F-00650045008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4" operator="containsText" text="prev" id="{00A20088-00B5-4EF0-BC85-0070007D00C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4" operator="containsText" text="prev" id="{006800BF-006C-4BE1-BF53-005B00FA004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34" operator="containsText" text="prev" id="{00430087-007C-46B9-B527-00D90081006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4" operator="containsText" text="prev" id="{00F60075-0046-4236-899E-00C600EC00C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4" operator="containsText" text="prev" id="{00E00056-00C2-439A-BD9E-003A00E500C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34" operator="containsText" text="prev" id="{008A0006-00F4-481E-9456-003400B100B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34" operator="containsText" text="prev" id="{001C0072-00A9-4F5B-997A-002200DF007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4" operator="containsText" text="prev" id="{004200C1-0031-477E-8BFB-00BC0038009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4" operator="containsText" text="prev" id="{007B0090-004C-4EBE-BFD3-00F600FC001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34" operator="containsText" text="prev" id="{002E00A6-001F-45B9-A19C-001900C500F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4" operator="containsText" text="prev" id="{00060077-00CF-4E71-9F15-005D00C800F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4" operator="containsText" text="prev" id="{007A00C8-0093-4A64-9DC2-00D10033000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4" operator="containsText" text="prev" id="{000800C8-00BB-4D0A-BAE3-002A00BE008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4" operator="containsText" text="prev" id="{00000067-00CB-4501-9834-002400E1008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4" operator="containsText" text="prev" id="{009C000B-00D1-4E94-B7F5-005A00C5009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34" operator="containsText" text="prev" id="{00FF00E2-00EA-4370-8964-002200DD000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134" operator="containsText" text="prev" id="{004800BB-0015-40C8-AA69-004C000D00A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34" operator="containsText" text="prev" id="{003E00F7-00E8-44AA-AA9F-008100DF00F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34" operator="containsText" text="prev" id="{002800DE-004E-4E23-AE96-0043005200A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34" operator="containsText" text="prev" id="{0092009A-0073-44EA-AD2F-00900000002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34" operator="containsText" text="prev" id="{00F20090-00FF-45FC-AA4A-004400E7008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34" operator="containsText" text="prev" id="{00A700C7-00E1-48F9-B80F-00EA001100D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34" operator="containsText" text="prev" id="{0084007F-00C7-4759-ACBD-00E9000A003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34" operator="containsText" text="prev" id="{00020043-00BA-4082-BAE7-0020000F00C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4" operator="containsText" text="prev" id="{00660090-00DA-4E87-AF27-004A008700A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4" operator="containsText" text="prev" id="{008F008C-00B7-445B-8893-00EF007A00E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34" operator="containsText" text="prev" id="{0003009F-0065-4D3C-9DF5-00E6007500C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34" operator="containsText" text="prev" id="{001B00F9-00F7-4679-89E6-00B400BF007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34" operator="containsText" text="prev" id="{000A006B-0048-4E1E-B0F2-00B80044007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34" operator="containsText" text="prev" id="{00D300AD-007B-4D12-A3B1-00EF005B00C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134" operator="containsText" text="prev" id="{006C002F-008D-4EF8-A56A-00EE009300F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34" operator="containsText" text="prev" id="{005800E0-005D-43DA-85F7-006300E3004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34" operator="containsText" text="prev" id="{00A400C9-00C9-48E1-8A5F-005E009900A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34" operator="containsText" text="prev" id="{0023000A-006F-4A33-AF2A-00C200B8002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134" operator="containsText" text="prev" id="{00D10066-007E-4185-99B8-004F00F8000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34" operator="containsText" text="prev" id="{00C80094-0077-4227-886C-009600CA006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34" operator="containsText" text="prev" id="{00E00095-0051-49BB-981F-008700F2001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134" operator="containsText" text="prev" id="{00C80060-0020-40C6-BFEE-00160057000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134" operator="containsText" text="prev" id="{0090006E-0029-482E-AA26-00C200B0001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34" operator="containsText" text="prev" id="{008C00E2-005F-427C-8CC2-00CB000500F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34" operator="containsText" text="prev" id="{00C400ED-0013-4CBA-8E3F-007D0069005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134" operator="containsText" text="prev" id="{003C00F9-0061-4224-805B-00010003006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134" operator="containsText" text="prev" id="{00D800D0-0048-48E5-A4CA-00DA00BC001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134" operator="containsText" text="prev" id="{004C0055-00D4-4CFB-8C5F-00F2009B004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134" operator="containsText" text="prev" id="{005000BC-0046-4AE6-BC9E-005900D3003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34" operator="containsText" text="prev" id="{003000AA-007B-471E-AB83-008100BD004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34" operator="containsText" text="prev" id="{001A00F4-0040-47CD-A8EA-00700084003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34" operator="containsText" text="prev" id="{00F70023-0039-48BA-85F6-00E400E600D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34" operator="containsText" text="prev" id="{000D0043-00AB-4DC3-B87F-00EF007C000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134" operator="containsText" text="prev" id="{007600B7-0025-4D3F-A481-007B00C4006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108" operator="containsText" text="non" id="{00420091-0086-4D67-8A74-0092002700A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H1:H2 H4:H8 H11 H15 H19:H20 H23 H39:H42 H45:H47 H48:H49 H52 H56 H71 H103:H178 H188:H1048576 H43 H79 H57 H58 H59 H60 H61 H62 H63 H64 H65 H65 H66 H67 H69 H70</xm:sqref>
        </x14:conditionalFormatting>
        <x14:conditionalFormatting xmlns:xm="http://schemas.microsoft.com/office/excel/2006/main">
          <x14:cfRule type="containsText" priority="108" operator="containsText" text="non" id="{00BB001E-003C-4CAF-8147-00190075006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08" operator="containsText" text="non" id="{00210088-00F1-42B9-997C-00AE000D00B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08" operator="containsText" text="non" id="{00D3006B-005F-4629-8E6F-00A8000300B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108" operator="containsText" text="non" id="{00F10030-00DB-4B84-BDDB-004A00FE008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08" operator="containsText" text="non" id="{003D00BB-0035-4985-B621-00170049005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08" operator="containsText" text="non" id="{0010001D-0041-435A-859A-00B90069004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08" operator="containsText" text="non" id="{00AC0041-0070-4825-8493-000500C6004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08" operator="containsText" text="non" id="{00B700E4-00C9-4F66-B3E5-0099008B006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08" operator="containsText" text="non" id="{007400D5-0073-4B31-BDE3-00B700FB001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08" operator="containsText" text="non" id="{00140047-008D-40CF-9CE4-0070008E00D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08" operator="containsText" text="non" id="{002B0025-00C3-4EBC-90DD-0082004C005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08" operator="containsText" text="non" id="{009A006C-0002-4A88-B26B-001E00BE004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08" operator="containsText" text="non" id="{007300A2-0007-4697-98E8-0032002400F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08" operator="containsText" text="non" id="{00F30079-00F1-4BA0-AE4B-00AA0012009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08" operator="containsText" text="non" id="{000D0025-0091-47BF-9FB8-006C00FB003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08" operator="containsText" text="non" id="{00420072-002F-4945-887A-00C20043005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08" operator="containsText" text="non" id="{0040005D-0013-41AB-85B7-007100A4005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08" operator="containsText" text="non" id="{003700B9-001E-4AF9-98F1-00A50008002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08" operator="containsText" text="non" id="{000700E6-0056-46B7-BCD7-00310026001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08" operator="containsText" text="non" id="{002A0020-0052-4FD7-AE92-00DF00A8009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08" operator="containsText" text="non" id="{00CB00E2-0072-42A5-B1D8-0014009100F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08" operator="containsText" text="non" id="{00BF00AA-004A-44A5-AB19-00910087007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08" operator="containsText" text="non" id="{00CA002F-007D-4B31-8D75-009700DB007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570028-00C9-4661-B0A2-00A8000F002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08" operator="containsText" text="non" id="{002800CA-00DC-4DAE-96A8-00F9003C005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08" operator="containsText" text="non" id="{001600C8-0046-47A6-A57F-009C005B006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08" operator="containsText" text="non" id="{0003001E-006E-46DD-8CA4-003E005F002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08" operator="containsText" text="non" id="{00EA0035-0028-488F-95DA-000000C6007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08" operator="containsText" text="non" id="{006E003C-00B4-440B-B34F-00E9002F006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08" operator="containsText" text="non" id="{004000CC-003F-441E-B271-007700D8000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08" operator="containsText" text="non" id="{00F5007F-00B2-4378-AF18-0094000A009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08" operator="containsText" text="non" id="{000D00F2-0009-44A8-908E-00D3007F007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08" operator="containsText" text="non" id="{009F00B1-005C-4E8F-8EFE-002000DB003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08" operator="containsText" text="non" id="{00070093-0020-4C68-9C9F-00540029003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08" operator="containsText" text="non" id="{00520099-0002-4AD9-84DE-00830027002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08" operator="containsText" text="non" id="{00AD0037-004C-4675-901D-005A006C008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08" operator="containsText" text="non" id="{00E80056-00A2-4BB4-9CE4-00F00057002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08" operator="containsText" text="non" id="{00F6003B-00CF-43CB-87AA-003B00AA00C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108" operator="containsText" text="non" id="{00430022-0032-4CC1-845E-009900BE00F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08" operator="containsText" text="non" id="{00EF00C2-00A4-4FC8-954D-006D007C009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08" operator="containsText" text="non" id="{001F0098-00FC-4A54-905F-00A600B200F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08" operator="containsText" text="non" id="{00990068-008E-4DA2-B1C7-005300D300A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08" operator="containsText" text="non" id="{00D30050-008B-4D34-AF1E-00690001004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08" operator="containsText" text="non" id="{005D00BE-00A9-4461-AF56-00E700BD000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08" operator="containsText" text="non" id="{000800D0-00A4-4961-AAA4-000C0065005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08" operator="containsText" text="non" id="{00FD00B3-00E2-46B1-BD8C-007A0023007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08" operator="containsText" text="non" id="{00AE00EB-005B-4EA7-B1EA-000B001C00E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08" operator="containsText" text="non" id="{00D800D7-003C-447C-A34C-007D00D2001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08" operator="containsText" text="non" id="{0000000B-0058-4488-AF11-008800E400A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08" operator="containsText" text="non" id="{004C002A-00CE-4868-AFF8-001B0085007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08" operator="containsText" text="non" id="{00A90041-004F-4590-98FE-0064003500E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08" operator="containsText" text="non" id="{009B0075-00FB-42FA-98EE-002400BE002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08" operator="containsText" text="non" id="{00D20068-00A9-4556-8F43-009E00FE00D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08" operator="containsText" text="non" id="{003D00E2-0028-4652-930A-00FE0083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08" operator="containsText" text="non" id="{00B70097-0010-4995-8936-00CF0046005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08" operator="containsText" text="non" id="{00960065-00CA-41B7-8A1E-005400BB00C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08" operator="containsText" text="non" id="{00DA00F0-0067-4AAC-90F9-00FE000300C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08" operator="containsText" text="non" id="{00750079-0053-4B17-9E94-007100EF00E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08" operator="containsText" text="non" id="{002800E6-00FA-4659-A258-00630049009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08" operator="containsText" text="non" id="{00CD0003-0057-4305-827D-00F2003B00B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08" operator="containsText" text="non" id="{005300E0-00DC-4669-9EB9-00EB0002005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08" operator="containsText" text="non" id="{003F0057-0009-4FA5-9662-0090005100C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08" operator="containsText" text="non" id="{006B00D4-0055-4CB5-B255-006E00BA005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08" operator="containsText" text="non" id="{00770062-00DB-4F1D-91B5-00D800C6009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108" operator="containsText" text="non" id="{00F4009A-005E-4A29-AE7A-007D004D00D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08" operator="containsText" text="non" id="{00860093-002E-4B33-B009-00D7002A00A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08" operator="containsText" text="non" id="{00E70009-0006-4257-BDAD-0032000200E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08" operator="containsText" text="non" id="{009A0062-00DE-4CBC-8D15-007C00E100C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08" operator="containsText" text="non" id="{00ED0049-007A-403D-AE65-00E000DF002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08" operator="containsText" text="non" id="{0038005E-00D5-424F-85DF-0041002000A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08" operator="containsText" text="non" id="{00630015-00DF-4A96-A4FD-00D6009000D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08" operator="containsText" text="non" id="{009A0016-00B0-4E6F-9072-004E009100C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08" operator="containsText" text="non" id="{001600BA-0039-4E71-8D50-00EF00F7008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08" operator="containsText" text="non" id="{00A700E0-004C-48D0-9949-00EE00FB005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08" operator="containsText" text="non" id="{005500D6-00EA-4E95-9AC5-00D500B600D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08" operator="containsText" text="non" id="{00630085-00E8-42D4-977D-00D20024007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08" operator="containsText" text="non" id="{00070067-00EA-47AD-A930-0030007400D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08" operator="containsText" text="non" id="{007D005E-0090-44A1-AF0A-00AF005500E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108" operator="containsText" text="non" id="{00990031-00C5-471E-9A43-00EF0033004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08" operator="containsText" text="non" id="{00CB0021-0009-42EC-84FB-0084000300E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08" operator="containsText" text="non" id="{00220032-0083-4B3C-A04B-001C0051007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08" operator="containsText" text="non" id="{00B800F6-0036-4371-8634-00D800E100D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108" operator="containsText" text="non" id="{00950021-00C5-4FAB-9F91-009400E6006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08" operator="containsText" text="non" id="{002C0080-0073-4BAE-8808-005200A500C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08" operator="containsText" text="non" id="{00F90023-0089-4D20-93D2-0057009D00C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108" operator="containsText" text="non" id="{009C0094-0069-4132-942A-007200FB006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108" operator="containsText" text="non" id="{00B6008F-0045-49ED-8EEB-00240028004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08" operator="containsText" text="non" id="{001A00C5-00EC-4C55-B83D-006B00E200E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08" operator="containsText" text="non" id="{001000A2-003E-48A5-BC1A-001B001C008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108" operator="containsText" text="non" id="{00CD0008-0080-4C7E-83EB-00EC0015003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108" operator="containsText" text="non" id="{005C004C-0057-4071-8D86-00C7002C00A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108" operator="containsText" text="non" id="{002C00A9-00BB-4CA3-8D59-00F600B7003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108" operator="containsText" text="non" id="{003D008D-0078-4A03-B36A-00D600C400D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08" operator="containsText" text="non" id="{00A100D8-00B1-43F9-91B3-00A90079008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08" operator="containsText" text="non" id="{003000AB-0083-49F7-B1CE-003700A000D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08" operator="containsText" text="non" id="{0034000A-0067-415C-992D-00BE00A1003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08" operator="containsText" text="non" id="{00E6006C-003F-4D59-B7C3-00B200E0002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108" operator="containsText" text="non" id="{00A30054-00CA-44C6-A7A5-00F2001500B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6" operator="containsText" text="non" id="{00480091-009C-450E-B4C4-00F1008B006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 H15 H19:H20 H23</xm:sqref>
        </x14:conditionalFormatting>
        <x14:conditionalFormatting xmlns:xm="http://schemas.microsoft.com/office/excel/2006/main">
          <x14:cfRule type="containsText" priority="1" operator="containsText" text="obj" id="{00E300CE-0031-40B7-862C-00260050003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H103:H1048576 H1:H29 H39:H42 H45:H52 H56 H71 H43 H79 H57 H58 H59 H60 H61 H62 H63 H64 H65 H65 H66 H67 H69 H70 H30 H31 H32 H33 H34 H35 H36 H37 H38</xm:sqref>
        </x14:conditionalFormatting>
        <x14:conditionalFormatting xmlns:xm="http://schemas.microsoft.com/office/excel/2006/main">
          <x14:cfRule type="containsText" priority="1" operator="containsText" text="obj" id="{00790051-007E-4CC0-ACD6-00120080001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1" operator="containsText" text="obj" id="{007800FC-007F-480D-BC83-002B0043009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H29 H30 H31 H32 H33 H34 H35 H36 H37 H38</xm:sqref>
        </x14:conditionalFormatting>
        <x14:conditionalFormatting xmlns:xm="http://schemas.microsoft.com/office/excel/2006/main">
          <x14:cfRule type="containsText" priority="1" operator="containsText" text="obj" id="{00C80061-006B-4B8A-8208-00D900EE000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1" operator="containsText" text="obj" id="{00CA0056-0030-48B8-89E0-0062008700B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" operator="containsText" text="obj" id="{007A00EA-0085-4BE7-AB74-0034006800B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1" operator="containsText" text="obj" id="{009F004E-00D0-4095-BBCA-00D4001500C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H39</xm:sqref>
        </x14:conditionalFormatting>
        <x14:conditionalFormatting xmlns:xm="http://schemas.microsoft.com/office/excel/2006/main">
          <x14:cfRule type="containsText" priority="1" operator="containsText" text="obj" id="{004D0011-0019-4292-8DF9-00B8002700B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H50</xm:sqref>
        </x14:conditionalFormatting>
        <x14:conditionalFormatting xmlns:xm="http://schemas.microsoft.com/office/excel/2006/main">
          <x14:cfRule type="containsText" priority="1" operator="containsText" text="obj" id="{00540023-0016-4BA3-8094-00C0007300A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" operator="containsText" text="obj" id="{00A500E0-00AF-48DD-A575-00C50057007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containsText" priority="1" operator="containsText" text="obj" id="{004300F9-00C9-4384-8BFD-007B00B400C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" operator="containsText" text="obj" id="{006B00D1-009D-48CA-8514-008C00B100F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" operator="containsText" text="obj" id="{00250008-00E7-48A7-BEAB-00C40091001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1" operator="containsText" text="obj" id="{004200C1-006B-417D-9BD3-008B00CD003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containsText" priority="1" operator="containsText" text="obj" id="{00F700E6-0095-4B06-8BD2-009C003C001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" operator="containsText" text="obj" id="{001F007C-004B-480F-8071-007A0072004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" operator="containsText" text="obj" id="{006600A9-00DB-4427-BF34-00D3004000D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" operator="containsText" text="obj" id="{00BE0067-0042-429F-9034-0081003400A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" operator="containsText" text="obj" id="{00E0007C-0048-4099-9030-00610003007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H44</xm:sqref>
        </x14:conditionalFormatting>
        <x14:conditionalFormatting xmlns:xm="http://schemas.microsoft.com/office/excel/2006/main">
          <x14:cfRule type="containsText" priority="1" operator="containsText" text="obj" id="{001E00E9-006E-4242-93D8-00F100F600B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" operator="containsText" text="obj" id="{0040003C-004B-4A97-8B8D-00A200BC00A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" operator="containsText" text="obj" id="{007F00DC-00CD-4100-8132-006500BD007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" operator="containsText" text="obj" id="{00400049-0080-4585-AE07-0004003D00D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H71</xm:sqref>
        </x14:conditionalFormatting>
        <x14:conditionalFormatting xmlns:xm="http://schemas.microsoft.com/office/excel/2006/main">
          <x14:cfRule type="containsText" priority="1" operator="containsText" text="obj" id="{005700D7-00F3-4BA9-A709-000A003B007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" operator="containsText" text="obj" id="{00430087-0069-42C4-9487-002D007900B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" operator="containsText" text="obj" id="{008A00A6-003D-4CBA-8902-006100ED002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A00040-003D-4A2A-B29B-00F400AA007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" operator="containsText" text="obj" id="{00ED0079-0030-4D3D-A05C-0059004A007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" operator="containsText" text="obj" id="{003700B0-00BC-4810-A8C2-003500A600A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" operator="containsText" text="obj" id="{00C800EE-0004-454E-BA94-005E001100A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H56 H57 H58 H59 H60 H61 H62 H63 H64 H65 H65 H66 H67 H69 H70</xm:sqref>
        </x14:conditionalFormatting>
        <x14:conditionalFormatting xmlns:xm="http://schemas.microsoft.com/office/excel/2006/main">
          <x14:cfRule type="containsText" priority="1" operator="containsText" text="obj" id="{00980078-0008-491F-A81C-00C800E200A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" operator="containsText" text="obj" id="{00AA007D-0032-4001-ACDA-00B900D1005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" operator="containsText" text="obj" id="{00180020-00C7-4C6F-8E9E-001700B200D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" operator="containsText" text="obj" id="{003000EF-006A-4082-BD1D-007C007E00D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" operator="containsText" text="obj" id="{00120003-0080-48C0-92F0-000800B7004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" operator="containsText" text="obj" id="{00C800FE-0020-48EF-BA4A-00A200BD005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" operator="containsText" text="obj" id="{00B5005A-00D1-44DD-A537-00B1001500D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" operator="containsText" text="obj" id="{008C0001-00CB-4740-9FE9-00DC00D6004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" operator="containsText" text="obj" id="{00DC0055-00FB-4A8A-BAC4-00F70009008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H80</xm:sqref>
        </x14:conditionalFormatting>
        <x14:conditionalFormatting xmlns:xm="http://schemas.microsoft.com/office/excel/2006/main">
          <x14:cfRule type="containsText" priority="1" operator="containsText" text="obj" id="{00EA0070-002D-4C17-A827-002F00F700B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" operator="containsText" text="obj" id="{004200D5-0085-48F3-AA7C-002B0021004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1" operator="containsText" text="obj" id="{00FF0027-0015-457C-8BDF-001400B1005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" operator="containsText" text="obj" id="{00D20085-0096-401A-A83C-0041001F001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" operator="containsText" text="obj" id="{0025008F-00E9-47E2-91AD-007900B4008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containsText" priority="1" operator="containsText" text="obj" id="{009C0040-001A-4D40-A5DC-004500BB000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" operator="containsText" text="obj" id="{00890047-005F-4F6A-B729-0037005400C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" operator="containsText" text="obj" id="{00AD006A-00B7-481F-9B1A-00320089007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" operator="containsText" text="obj" id="{00D80072-00E2-44CD-8DF5-005300E3006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" operator="containsText" text="obj" id="{009E007A-0016-42D2-8E19-00D600B7009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" operator="containsText" text="obj" id="{008E005E-002E-4410-AC53-00E600B1006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" operator="containsText" text="obj" id="{00B20084-0090-4D47-AB60-0026009000B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" operator="containsText" text="obj" id="{00570019-0072-48B9-B424-000000D7007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" operator="containsText" text="obj" id="{0070009A-00AF-4805-8A88-003500EF002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" operator="containsText" text="obj" id="{006500FF-00A3-4DAE-9734-00450080006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" operator="containsText" text="obj" id="{002A002D-00C0-47B6-8708-003C0026003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" operator="containsText" text="obj" id="{00C900A7-0084-459F-97AB-006B002D009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" operator="containsText" text="obj" id="{00EC00E9-005F-408B-BA27-00C500DC007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H82</xm:sqref>
        </x14:conditionalFormatting>
        <x14:conditionalFormatting xmlns:xm="http://schemas.microsoft.com/office/excel/2006/main">
          <x14:cfRule type="containsText" priority="1" operator="containsText" text="obj" id="{000600F4-005C-4DD2-9983-005D002F00E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" operator="containsText" text="obj" id="{00870063-00AD-43F0-8D65-008000300082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" operator="containsText" text="obj" id="{00C70043-007F-4953-A1B4-00D700CF00D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" operator="containsText" text="obj" id="{004800D3-0029-4D68-A9A7-00400009005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" operator="containsText" text="obj" id="{000F0031-00CB-418C-BC06-00D70030005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" operator="containsText" text="obj" id="{00390072-00AB-445F-AB47-004800B100F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" operator="containsText" text="obj" id="{00240095-00F7-48C8-A94A-00B30049007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" operator="containsText" text="obj" id="{005700B1-00DE-46FE-A86F-000B00D5000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" operator="containsText" text="obj" id="{004E00A9-00B3-4A53-8B41-00820088000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" operator="containsText" text="obj" id="{001700FD-00AB-419D-BC4D-003900F1006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1" operator="containsText" text="obj" id="{00A700E1-007A-44A7-BCC4-00E500B000F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" operator="containsText" text="obj" id="{00D800A5-00C1-4BCA-B265-001000EC004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" operator="containsText" text="obj" id="{003E00EA-001C-4FDA-A1F9-00720027004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" operator="containsText" text="obj" id="{00C200C2-00FF-4ECE-A23D-00020023000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" operator="containsText" text="obj" id="{007100FE-0060-4122-8F1B-007F00A700A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" operator="containsText" text="obj" id="{001800EE-0064-4ACF-89A1-00BF000E004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" operator="containsText" text="obj" id="{008A00A4-009E-497D-8456-00B40061008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1" operator="containsText" text="obj" id="{00540052-00F7-4CA5-9444-003500A600C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" operator="containsText" text="obj" id="{007E0032-00AA-4032-9E80-00AB00D1009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" operator="containsText" text="obj" id="{00E100A0-0083-4B56-A674-009500F100B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" operator="containsText" text="obj" id="{00B500EC-00EB-44F3-8032-0047005500E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" operator="containsText" text="obj" id="{00B6008A-0096-4918-B3EE-00440021009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" operator="containsText" text="obj" id="{00980018-00A9-4CE0-99CC-00770036006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" operator="containsText" text="obj" id="{001500D2-00C1-4031-B9E3-002000AD009A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1" operator="containsText" text="obj" id="{009500BE-0063-4E04-B2BC-00770019001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" operator="containsText" text="obj" id="{00010052-0055-4699-88C4-00CB00030084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" operator="containsText" text="obj" id="{000D0004-00B4-4872-ADDE-009B00C9008B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" operator="containsText" text="obj" id="{00FB00A8-00CF-4CE5-99FD-00FD0024006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1" operator="containsText" text="obj" id="{00060081-00C3-4B82-85E7-0005001F00E8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" operator="containsText" text="obj" id="{002D0061-00F4-43A2-8234-00A2004C00C6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1" operator="containsText" text="obj" id="{0012003D-009D-45B1-B5CD-009900FD00BE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1" operator="containsText" text="obj" id="{00F300A2-004D-4E0A-AB11-00A5003B00C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1" operator="containsText" text="obj" id="{003100F4-0061-4A6B-8676-00DF00A7006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" operator="containsText" text="obj" id="{0048007D-00F3-458A-A701-0091009600A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H91</xm:sqref>
        </x14:conditionalFormatting>
        <x14:conditionalFormatting xmlns:xm="http://schemas.microsoft.com/office/excel/2006/main">
          <x14:cfRule type="containsText" priority="1" operator="containsText" text="obj" id="{007400B3-00B6-40B3-AFF0-0079001600F0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1" operator="containsText" text="obj" id="{001100EF-00BE-42A5-8A39-001B005800F1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1" operator="containsText" text="obj" id="{00DD0002-00F3-4D2F-A7D1-00FF00CE006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1" operator="containsText" text="obj" id="{0076005C-00A9-4086-A31C-002C0093008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1" operator="containsText" text="obj" id="{007D00E7-00CB-4D8C-BD20-001700D500BF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" operator="containsText" text="obj" id="{002600DA-0068-47C0-ADD4-007900020023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1" operator="containsText" text="obj" id="{00570043-00F8-47CD-92F7-00F600DA0037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" operator="containsText" text="obj" id="{00D90089-00C7-4219-BCE4-006B0070008C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" operator="containsText" text="obj" id="{008F00A6-0032-426B-87EE-004B00A0009D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1" operator="containsText" text="obj" id="{00BF001B-0032-4388-939A-005800200035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0" zoomScale="100" workbookViewId="0">
      <selection activeCell="R8" activeCellId="0" sqref="R8"/>
    </sheetView>
  </sheetViews>
  <sheetFormatPr baseColWidth="10" defaultColWidth="9.140625" defaultRowHeight="14.25"/>
  <cols>
    <col bestFit="1" customWidth="1" min="2" max="2" width="15.85546875"/>
    <col bestFit="1" customWidth="1" min="3" max="3" width="21.140625"/>
    <col bestFit="1" customWidth="1" min="4" max="4" width="17.5703125"/>
    <col bestFit="1" customWidth="1" min="5" max="5" width="13.5703125"/>
    <col bestFit="1" customWidth="1" min="6" max="6" width="20.28515625"/>
    <col customWidth="1" min="7" max="7" style="68" width="3.8515625"/>
    <col bestFit="1" customWidth="1" min="8" max="8" width="20.28515625"/>
    <col bestFit="1" customWidth="1" min="9" max="9" width="20.94140625"/>
    <col bestFit="1" customWidth="1" min="10" max="10" width="22.8828125"/>
    <col bestFit="1" customWidth="1" min="11" max="11" width="5.8515625"/>
    <col bestFit="1" customWidth="1" min="12" max="12" width="9.51171875"/>
    <col bestFit="1" customWidth="1" min="13" max="13" width="12.25390625"/>
    <col bestFit="1" customWidth="1" min="14" max="14" width="12.00390625"/>
    <col bestFit="1" customWidth="1" min="15" max="16" style="0" width="12.00390625"/>
    <col customWidth="1" min="17" max="17" style="69" width="4.28125"/>
    <col bestFit="1" customWidth="1" min="18" max="18" width="20.7109375"/>
    <col bestFit="1" customWidth="1" min="19" max="19" width="22.57421875"/>
    <col bestFit="1" customWidth="1" min="20" max="20" width="5.7109375"/>
    <col bestFit="1" customWidth="1" min="21" max="21" width="9.28125"/>
    <col bestFit="1" customWidth="1" min="22" max="23" width="11.7109375"/>
    <col bestFit="1" min="24" max="24" width="11.7109375"/>
  </cols>
  <sheetData>
    <row r="1" ht="14.25"/>
    <row r="2">
      <c r="C2" s="27" t="s">
        <v>65</v>
      </c>
      <c r="D2" s="27" t="s">
        <v>66</v>
      </c>
      <c r="E2" s="27" t="s">
        <v>210</v>
      </c>
      <c r="F2" s="27" t="s">
        <v>67</v>
      </c>
    </row>
    <row r="3">
      <c r="B3" s="70" t="s">
        <v>71</v>
      </c>
      <c r="C3" s="71">
        <f>SUM(C4:C5)</f>
        <v>238604.03000000003</v>
      </c>
      <c r="D3" s="71">
        <f>SUM(D4:D5)</f>
        <v>238604.03000000003</v>
      </c>
      <c r="E3" s="71">
        <f>SUM(E4:E5)</f>
        <v>238604.03000000003</v>
      </c>
      <c r="F3" s="29">
        <f>SUM(F4:F5)</f>
        <v>238604.03000000003</v>
      </c>
      <c r="I3" s="30" t="s">
        <v>72</v>
      </c>
      <c r="J3" s="30" t="s">
        <v>211</v>
      </c>
    </row>
    <row r="4">
      <c r="B4" s="34" t="s">
        <v>75</v>
      </c>
      <c r="C4" s="72">
        <f>SUMIFS('Factures 2024'!E:E,'Factures 2024'!H:H,"oui",'Factures 2024'!N:N,"&lt;2025")+SUMIFS('Factures 2024'!E:E,'Factures 2024'!H:H,"non",'Factures 2024'!N:N,"&lt;2025")</f>
        <v>238604.03000000003</v>
      </c>
      <c r="D4" s="35">
        <f>C4+SUMIFS('Factures 2024'!E:E,'Factures 2024'!H:H,"prev",'Factures 2024'!N:N,"&lt;2025")</f>
        <v>238604.03000000003</v>
      </c>
      <c r="E4" s="62">
        <f>D4+SUMIFS('Factures 2024'!E:E,'Factures 2024'!H:H,"objectif",'Factures 2024'!N:N,"&lt;2025")</f>
        <v>238604.03000000003</v>
      </c>
      <c r="F4" s="73">
        <f>E4+SUMIFS('Factures 2024'!E:E,'Factures 2024'!H:H,"prosp",'Factures 2024'!N:N,"&lt;2025")</f>
        <v>238604.03000000003</v>
      </c>
      <c r="H4" s="74" t="s">
        <v>17</v>
      </c>
      <c r="I4" s="75">
        <v>4100</v>
      </c>
      <c r="J4" s="76">
        <v>4000</v>
      </c>
      <c r="R4" t="s">
        <v>212</v>
      </c>
      <c r="S4" t="s">
        <v>213</v>
      </c>
    </row>
    <row r="5">
      <c r="B5" s="38" t="s">
        <v>77</v>
      </c>
      <c r="C5" s="77">
        <v>0</v>
      </c>
      <c r="D5" s="39">
        <v>0</v>
      </c>
      <c r="E5" s="78">
        <v>0</v>
      </c>
      <c r="F5" s="39">
        <v>0</v>
      </c>
      <c r="H5" s="79" t="s">
        <v>78</v>
      </c>
      <c r="I5" s="80">
        <f>I4</f>
        <v>4100</v>
      </c>
      <c r="J5" s="28"/>
      <c r="R5" t="s">
        <v>214</v>
      </c>
      <c r="S5" t="s">
        <v>51</v>
      </c>
      <c r="T5" t="s">
        <v>30</v>
      </c>
      <c r="U5" t="s">
        <v>15</v>
      </c>
      <c r="V5" t="s">
        <v>215</v>
      </c>
    </row>
    <row r="6">
      <c r="G6" s="81"/>
      <c r="H6" s="82" t="s">
        <v>216</v>
      </c>
      <c r="I6" s="28">
        <v>500</v>
      </c>
      <c r="J6" s="83" t="s">
        <v>217</v>
      </c>
      <c r="K6" t="s">
        <v>218</v>
      </c>
      <c r="R6" s="84" t="s">
        <v>219</v>
      </c>
      <c r="S6">
        <v>6000</v>
      </c>
      <c r="T6">
        <v>36325</v>
      </c>
      <c r="U6">
        <v>196279.03</v>
      </c>
      <c r="V6">
        <v>238604.03</v>
      </c>
    </row>
    <row r="7">
      <c r="B7" s="42" t="s">
        <v>82</v>
      </c>
      <c r="C7" s="43">
        <f>SUMIFS('Factures 2024'!E:E,'Factures 2024'!H:H,"non",'Factures 2024'!N:N,"&lt;2025")</f>
        <v>1575</v>
      </c>
      <c r="D7" s="42" t="s">
        <v>83</v>
      </c>
      <c r="E7" s="43">
        <f>SUMIFS('Factures 2024'!G:G,'Factures 2024'!H:H,"non",'Factures 2024'!N:N,"&lt;2025")</f>
        <v>1890</v>
      </c>
      <c r="F7" s="42" t="s">
        <v>85</v>
      </c>
      <c r="H7" s="30" t="s">
        <v>218</v>
      </c>
      <c r="I7" s="85">
        <f>35000/12</f>
        <v>2916.6666666666665</v>
      </c>
      <c r="J7" s="76">
        <v>400</v>
      </c>
      <c r="R7" s="86" t="s">
        <v>220</v>
      </c>
      <c r="U7">
        <v>66421.5</v>
      </c>
      <c r="V7">
        <v>66421.5</v>
      </c>
    </row>
    <row r="8">
      <c r="G8" s="81"/>
      <c r="H8" s="87" t="s">
        <v>221</v>
      </c>
      <c r="I8" s="88">
        <f>C10/12</f>
        <v>16390.327333333335</v>
      </c>
      <c r="J8" s="89">
        <f>D10/11.3</f>
        <v>17405.657345132742</v>
      </c>
      <c r="K8" s="28">
        <f>I7*1.42+SUM('Charges 2024'!J:J)*1.2/12</f>
        <v>4669.8666666666659</v>
      </c>
      <c r="R8" s="90" t="s">
        <v>222</v>
      </c>
      <c r="U8">
        <v>26596</v>
      </c>
      <c r="V8">
        <v>26596</v>
      </c>
    </row>
    <row r="9">
      <c r="C9" s="91" t="s">
        <v>65</v>
      </c>
      <c r="D9" s="48" t="s">
        <v>66</v>
      </c>
      <c r="E9" s="92" t="s">
        <v>210</v>
      </c>
      <c r="F9" s="92" t="s">
        <v>67</v>
      </c>
      <c r="H9" s="30" t="s">
        <v>223</v>
      </c>
      <c r="I9" s="42">
        <v>3</v>
      </c>
      <c r="R9" s="90" t="s">
        <v>224</v>
      </c>
      <c r="U9">
        <v>21283</v>
      </c>
      <c r="V9">
        <v>21283</v>
      </c>
    </row>
    <row r="10">
      <c r="B10" s="48" t="s">
        <v>88</v>
      </c>
      <c r="C10" s="93">
        <f>SUM(C11:C12)</f>
        <v>196683.92800000001</v>
      </c>
      <c r="D10" s="49">
        <f>SUM(D11:D12)</f>
        <v>196683.92800000001</v>
      </c>
      <c r="E10" s="94">
        <f>SUM(E11:E12)</f>
        <v>196683.92800000001</v>
      </c>
      <c r="F10" s="49">
        <f>SUM(F11:F12)</f>
        <v>196683.92800000001</v>
      </c>
      <c r="G10" s="81"/>
      <c r="R10" s="90" t="s">
        <v>225</v>
      </c>
      <c r="U10">
        <v>18542.5</v>
      </c>
      <c r="V10">
        <v>18542.5</v>
      </c>
    </row>
    <row r="11">
      <c r="B11" s="95" t="s">
        <v>90</v>
      </c>
      <c r="C11" s="96">
        <f>SUM('Charges 2024'!H:H)</f>
        <v>40595.928</v>
      </c>
      <c r="D11" s="97">
        <f t="shared" ref="D11:D12" si="44">C11</f>
        <v>40595.928</v>
      </c>
      <c r="E11" s="97">
        <f t="shared" ref="E11:E12" si="45">D11</f>
        <v>40595.928</v>
      </c>
      <c r="F11" s="97">
        <f t="shared" ref="F11:F12" si="46">E11</f>
        <v>40595.928</v>
      </c>
      <c r="G11" s="81"/>
      <c r="J11" s="33"/>
      <c r="R11" s="86" t="s">
        <v>226</v>
      </c>
      <c r="U11">
        <v>46165.199999999997</v>
      </c>
      <c r="V11">
        <v>46165.199999999997</v>
      </c>
    </row>
    <row r="12">
      <c r="B12" s="52" t="s">
        <v>72</v>
      </c>
      <c r="C12" s="98">
        <f>1.42*((I4+I5)*12)+I6*10+2*J4*1.42</f>
        <v>156088</v>
      </c>
      <c r="D12" s="39">
        <f t="shared" si="44"/>
        <v>156088</v>
      </c>
      <c r="E12" s="78">
        <f t="shared" si="45"/>
        <v>156088</v>
      </c>
      <c r="F12" s="78">
        <f t="shared" si="46"/>
        <v>156088</v>
      </c>
      <c r="G12" s="81"/>
      <c r="I12" t="s">
        <v>212</v>
      </c>
      <c r="J12" t="s">
        <v>213</v>
      </c>
      <c r="R12" s="90" t="s">
        <v>227</v>
      </c>
      <c r="U12">
        <v>12956.9</v>
      </c>
      <c r="V12">
        <v>12956.9</v>
      </c>
    </row>
    <row r="13">
      <c r="G13" s="81"/>
      <c r="I13" t="s">
        <v>214</v>
      </c>
      <c r="J13" t="s">
        <v>51</v>
      </c>
      <c r="K13" t="s">
        <v>228</v>
      </c>
      <c r="L13" t="s">
        <v>30</v>
      </c>
      <c r="M13" t="s">
        <v>15</v>
      </c>
      <c r="N13" t="s">
        <v>215</v>
      </c>
      <c r="Q13" s="69"/>
      <c r="R13" s="90" t="s">
        <v>229</v>
      </c>
      <c r="U13">
        <v>15303.1</v>
      </c>
      <c r="V13">
        <v>15303.1</v>
      </c>
    </row>
    <row r="14">
      <c r="I14" s="84" t="s">
        <v>17</v>
      </c>
      <c r="L14">
        <v>20825</v>
      </c>
      <c r="M14">
        <v>91983.399999999994</v>
      </c>
      <c r="N14">
        <v>112808.39999999999</v>
      </c>
      <c r="Q14" s="69"/>
      <c r="R14" s="90" t="s">
        <v>230</v>
      </c>
      <c r="U14">
        <v>17905.200000000001</v>
      </c>
      <c r="V14">
        <v>17905.200000000001</v>
      </c>
    </row>
    <row r="15">
      <c r="C15" s="99" t="s">
        <v>65</v>
      </c>
      <c r="D15" s="53" t="s">
        <v>66</v>
      </c>
      <c r="E15" s="100" t="s">
        <v>210</v>
      </c>
      <c r="F15" s="100" t="s">
        <v>67</v>
      </c>
      <c r="I15" s="84" t="s">
        <v>13</v>
      </c>
      <c r="J15">
        <v>6000</v>
      </c>
      <c r="L15">
        <v>15500</v>
      </c>
      <c r="M15">
        <v>104295.62999999999</v>
      </c>
      <c r="N15">
        <v>125795.62999999999</v>
      </c>
      <c r="Q15" s="69"/>
      <c r="R15" s="86" t="s">
        <v>231</v>
      </c>
      <c r="U15">
        <v>53732.139999999999</v>
      </c>
      <c r="V15">
        <v>53732.139999999999</v>
      </c>
    </row>
    <row r="16">
      <c r="B16" s="54" t="s">
        <v>92</v>
      </c>
      <c r="C16" s="101">
        <f>C3-C10</f>
        <v>41920.102000000014</v>
      </c>
      <c r="D16" s="55">
        <f>D3-D10</f>
        <v>41920.102000000014</v>
      </c>
      <c r="E16" s="102">
        <f>E3-E10</f>
        <v>41920.102000000014</v>
      </c>
      <c r="F16" s="102">
        <f>F3-F10</f>
        <v>41920.102000000014</v>
      </c>
      <c r="I16" s="84" t="s">
        <v>228</v>
      </c>
      <c r="Q16" s="69"/>
      <c r="R16" s="90" t="s">
        <v>232</v>
      </c>
      <c r="U16">
        <v>22722.299999999999</v>
      </c>
      <c r="V16">
        <v>22722.299999999999</v>
      </c>
    </row>
    <row r="17">
      <c r="F17" s="54" t="s">
        <v>233</v>
      </c>
      <c r="I17" s="84" t="s">
        <v>215</v>
      </c>
      <c r="J17">
        <v>6000</v>
      </c>
      <c r="L17">
        <v>36325</v>
      </c>
      <c r="M17">
        <v>196279.02999999997</v>
      </c>
      <c r="N17">
        <v>238604.02999999997</v>
      </c>
      <c r="Q17" s="69"/>
      <c r="R17" s="90" t="s">
        <v>234</v>
      </c>
      <c r="U17">
        <v>5187.6000000000004</v>
      </c>
      <c r="V17">
        <v>5187.6000000000004</v>
      </c>
    </row>
    <row r="18">
      <c r="F18" s="29">
        <f>F16-C42-C43</f>
        <v>27910.502000000015</v>
      </c>
      <c r="R18" s="90" t="s">
        <v>235</v>
      </c>
      <c r="U18">
        <v>25822.239999999998</v>
      </c>
      <c r="V18">
        <v>25822.239999999998</v>
      </c>
    </row>
    <row r="19">
      <c r="C19" s="27" t="s">
        <v>65</v>
      </c>
      <c r="D19" s="27" t="s">
        <v>66</v>
      </c>
      <c r="E19" s="56" t="s">
        <v>210</v>
      </c>
      <c r="F19" s="61"/>
      <c r="R19" s="86" t="s">
        <v>236</v>
      </c>
      <c r="S19">
        <v>6000</v>
      </c>
      <c r="T19">
        <v>36325</v>
      </c>
      <c r="U19">
        <v>29960.190000000002</v>
      </c>
      <c r="V19">
        <v>72285.190000000002</v>
      </c>
    </row>
    <row r="20">
      <c r="B20" s="27" t="s">
        <v>71</v>
      </c>
      <c r="C20" s="57">
        <f>SUM(C21:C22)</f>
        <v>238604.02999999997</v>
      </c>
      <c r="D20" s="58">
        <f>SUM(D21:D22)</f>
        <v>238604.02999999997</v>
      </c>
      <c r="E20" s="59">
        <f>SUM(E21:E22)</f>
        <v>238604.02999999997</v>
      </c>
      <c r="F20" s="103"/>
      <c r="I20" t="s">
        <v>212</v>
      </c>
      <c r="J20" t="s">
        <v>213</v>
      </c>
      <c r="R20" s="90" t="s">
        <v>237</v>
      </c>
      <c r="T20">
        <v>1900</v>
      </c>
      <c r="U20">
        <v>16173.09</v>
      </c>
      <c r="V20">
        <v>18073.09</v>
      </c>
    </row>
    <row r="21">
      <c r="B21" s="60" t="s">
        <v>93</v>
      </c>
      <c r="C21" s="104">
        <f>SUMIFS('Factures 2024'!E:E,'Factures 2024'!H:H,"oui",'Factures 2024'!N:N,"&lt;2025",'Factures 2024'!C:C,"Alison")+SUMIFS('Factures 2024'!E:E,'Factures 2024'!H:H,"non",'Factures 2024'!N:N,"&lt;2025",'Factures 2024'!C:C,"Alison")</f>
        <v>112808.39999999999</v>
      </c>
      <c r="D21" s="61">
        <f>C21+SUMIFS('Factures 2024'!E:E,'Factures 2024'!H:H,"prev",'Factures 2024'!N:N,"&lt;2025",'Factures 2024'!C:C,"Alison")</f>
        <v>112808.39999999999</v>
      </c>
      <c r="E21" s="105">
        <f>D21+SUMIFS('Factures 2024'!E:E,'Factures 2024'!H:H,"objectif",'Factures 2024'!N:N,"&lt;2025",'Factures 2024'!C:C,"Alison")</f>
        <v>112808.39999999999</v>
      </c>
      <c r="I21" t="s">
        <v>214</v>
      </c>
      <c r="J21" t="s">
        <v>228</v>
      </c>
      <c r="K21" t="s">
        <v>30</v>
      </c>
      <c r="L21" t="s">
        <v>15</v>
      </c>
      <c r="M21" t="s">
        <v>215</v>
      </c>
      <c r="Q21" s="69"/>
      <c r="R21" s="90" t="s">
        <v>238</v>
      </c>
      <c r="T21">
        <v>14610</v>
      </c>
      <c r="U21">
        <v>10644.700000000001</v>
      </c>
      <c r="V21">
        <v>25254.700000000001</v>
      </c>
    </row>
    <row r="22">
      <c r="B22" s="63" t="s">
        <v>94</v>
      </c>
      <c r="C22" s="64">
        <f>SUMIFS('Factures 2024'!E:E,'Factures 2024'!H:H,"oui",'Factures 2024'!N:N,"&lt;2025",'Factures 2024'!C:C,"Gaetan")+SUMIFS('Factures 2024'!E:E,'Factures 2024'!H:H,"non",'Factures 2024'!N:N,"&lt;2025",'Factures 2024'!C:C,"Gaetan")</f>
        <v>125795.62999999999</v>
      </c>
      <c r="D22" s="65">
        <f>C22+SUMIFS('Factures 2024'!E:E,'Factures 2024'!H:H,"prev",'Factures 2024'!N:N,"&lt;2025",'Factures 2024'!C:C,"Gaetan")</f>
        <v>125795.62999999999</v>
      </c>
      <c r="E22" s="66">
        <f>D22+SUMIFS('Factures 2024'!E:E,'Factures 2024'!H:H,"objectif",'Factures 2024'!N:N,"&lt;2025",'Factures 2024'!C:C,"Gaetan")</f>
        <v>125795.62999999999</v>
      </c>
      <c r="I22" s="84" t="s">
        <v>26</v>
      </c>
      <c r="K22">
        <v>6000</v>
      </c>
      <c r="L22">
        <v>77250</v>
      </c>
      <c r="M22">
        <v>83250</v>
      </c>
      <c r="Q22" s="69"/>
      <c r="R22" s="90" t="s">
        <v>239</v>
      </c>
      <c r="S22">
        <v>6000</v>
      </c>
      <c r="T22">
        <v>19815</v>
      </c>
      <c r="U22">
        <v>3142.4000000000001</v>
      </c>
      <c r="V22">
        <v>28957.400000000001</v>
      </c>
    </row>
    <row r="23">
      <c r="I23" s="84" t="s">
        <v>19</v>
      </c>
      <c r="K23">
        <v>6200</v>
      </c>
      <c r="L23">
        <v>45722.5</v>
      </c>
      <c r="M23">
        <v>51922.5</v>
      </c>
      <c r="Q23" s="69"/>
      <c r="R23" s="84" t="s">
        <v>215</v>
      </c>
      <c r="S23">
        <v>6000</v>
      </c>
      <c r="T23">
        <v>36325</v>
      </c>
      <c r="U23">
        <v>196279.03</v>
      </c>
      <c r="V23">
        <v>238604.03</v>
      </c>
    </row>
    <row r="24">
      <c r="C24" s="106" t="s">
        <v>65</v>
      </c>
      <c r="D24" s="106" t="s">
        <v>66</v>
      </c>
      <c r="E24" s="106" t="s">
        <v>240</v>
      </c>
      <c r="F24" s="107" t="s">
        <v>241</v>
      </c>
      <c r="I24" s="84" t="s">
        <v>12</v>
      </c>
      <c r="L24">
        <v>16134.200000000001</v>
      </c>
      <c r="M24">
        <v>16134.200000000001</v>
      </c>
      <c r="Q24" s="69"/>
    </row>
    <row r="25">
      <c r="B25" s="106" t="s">
        <v>242</v>
      </c>
      <c r="C25" s="57">
        <f>SUM(C26:C37)</f>
        <v>238604.03</v>
      </c>
      <c r="D25" s="58">
        <f>SUM(D26:D37)</f>
        <v>238604.03</v>
      </c>
      <c r="E25" s="59">
        <f>SUM(E26:E37)</f>
        <v>41920.102000000014</v>
      </c>
      <c r="F25" s="29">
        <f t="shared" ref="F25:F26" si="47">E25</f>
        <v>41920.102000000014</v>
      </c>
      <c r="I25" s="84" t="s">
        <v>105</v>
      </c>
      <c r="L25">
        <v>14300</v>
      </c>
      <c r="M25">
        <v>14300</v>
      </c>
      <c r="Q25" s="69"/>
    </row>
    <row r="26">
      <c r="B26" s="108" t="s">
        <v>243</v>
      </c>
      <c r="C26" s="104">
        <f>SUMIFS('Factures 2024'!E:E,'Factures 2024'!H:H,"oui",'Factures 2024'!N:N,"&lt;2025",'Factures 2024'!O:O,1)+SUMIFS('Factures 2024'!E:E,'Factures 2024'!H:H,"non",'Factures 2024'!N:N,"&lt;2025",'Factures 2024'!O:O,1)</f>
        <v>26596</v>
      </c>
      <c r="D26" s="61">
        <f>C26+SUMIFS('Factures 2024'!E:E,'Factures 2024'!H:H,"prev",'Factures 2024'!N:N,"&lt;2025",'Factures 2024'!O:O,1)</f>
        <v>26596</v>
      </c>
      <c r="E26" s="109">
        <f>D26-C10/11.3</f>
        <v>9190.3426548672578</v>
      </c>
      <c r="F26" s="110">
        <f t="shared" si="47"/>
        <v>9190.3426548672578</v>
      </c>
      <c r="I26" s="84" t="s">
        <v>166</v>
      </c>
      <c r="L26">
        <v>13243.33</v>
      </c>
      <c r="M26">
        <v>13243.33</v>
      </c>
      <c r="Q26" s="69"/>
    </row>
    <row r="27">
      <c r="B27" s="108" t="s">
        <v>244</v>
      </c>
      <c r="C27" s="104">
        <f>SUMIFS('Factures 2024'!E:E,'Factures 2024'!H:H,"oui",'Factures 2024'!N:N,"&lt;2025",'Factures 2024'!O:O,2)+SUMIFS('Factures 2024'!E:E,'Factures 2024'!H:H,"non",'Factures 2024'!N:N,"&lt;2025",'Factures 2024'!O:O,2)</f>
        <v>21283</v>
      </c>
      <c r="D27" s="61">
        <f>C27+SUMIFS('Factures 2024'!E:E,'Factures 2024'!H:H,"prev",'Factures 2024'!N:N,"&lt;2025",'Factures 2024'!O:O,2)</f>
        <v>21283</v>
      </c>
      <c r="E27" s="109">
        <f>D27-C10/11.3</f>
        <v>3877.3426548672578</v>
      </c>
      <c r="F27" s="111">
        <f t="shared" ref="F27:F37" si="48">F26+E27</f>
        <v>13067.685309734516</v>
      </c>
      <c r="I27" s="84" t="s">
        <v>45</v>
      </c>
      <c r="K27">
        <v>3400</v>
      </c>
      <c r="L27">
        <v>9000</v>
      </c>
      <c r="M27">
        <v>12400</v>
      </c>
      <c r="Q27" s="69"/>
    </row>
    <row r="28">
      <c r="B28" s="108" t="s">
        <v>245</v>
      </c>
      <c r="C28" s="104">
        <f>SUMIFS('Factures 2024'!E:E,'Factures 2024'!H:H,"oui",'Factures 2024'!N:N,"&lt;2025",'Factures 2024'!O:O,3)+SUMIFS('Factures 2024'!E:E,'Factures 2024'!H:H,"non",'Factures 2024'!N:N,"&lt;2025",'Factures 2024'!O:O,3)</f>
        <v>18542.5</v>
      </c>
      <c r="D28" s="61">
        <f>C28+SUMIFS('Factures 2024'!E:E,'Factures 2024'!H:H,"prev",'Factures 2024'!N:N,"&lt;2025",'Factures 2024'!O:O,3)</f>
        <v>18542.5</v>
      </c>
      <c r="E28" s="109">
        <f>D28-C10/11.3</f>
        <v>1136.8426548672578</v>
      </c>
      <c r="F28" s="111">
        <f t="shared" si="48"/>
        <v>14204.527964601773</v>
      </c>
      <c r="I28" s="84" t="s">
        <v>39</v>
      </c>
      <c r="K28">
        <v>12175</v>
      </c>
      <c r="M28">
        <v>12175</v>
      </c>
      <c r="Q28" s="69"/>
    </row>
    <row r="29">
      <c r="B29" s="108" t="s">
        <v>246</v>
      </c>
      <c r="C29" s="104">
        <f>SUMIFS('Factures 2024'!E:E,'Factures 2024'!H:H,"oui",'Factures 2024'!N:N,"&lt;2025",'Factures 2024'!O:O,4)+SUMIFS('Factures 2024'!E:E,'Factures 2024'!H:H,"non",'Factures 2024'!N:N,"&lt;2025",'Factures 2024'!O:O,4)</f>
        <v>12956.9</v>
      </c>
      <c r="D29" s="61">
        <f>C29+SUMIFS('Factures 2024'!E:E,'Factures 2024'!H:H,"prev",'Factures 2024'!N:N,"&lt;2025",'Factures 2024'!O:O,4)</f>
        <v>12956.9</v>
      </c>
      <c r="E29" s="109">
        <f>D29-C10/11.3</f>
        <v>-4448.7573451327426</v>
      </c>
      <c r="F29" s="111">
        <f t="shared" si="48"/>
        <v>9755.7706194690309</v>
      </c>
      <c r="I29" s="84" t="s">
        <v>190</v>
      </c>
      <c r="K29">
        <v>8000</v>
      </c>
      <c r="M29">
        <v>8000</v>
      </c>
      <c r="Q29" s="69"/>
    </row>
    <row r="30">
      <c r="B30" s="108" t="s">
        <v>247</v>
      </c>
      <c r="C30" s="104">
        <f>SUMIFS('Factures 2024'!E:E,'Factures 2024'!H:H,"oui",'Factures 2024'!N:N,"&lt;2025",'Factures 2024'!O:O,5)+SUMIFS('Factures 2024'!E:E,'Factures 2024'!H:H,"non",'Factures 2024'!N:N,"&lt;2025",'Factures 2024'!O:O,5)</f>
        <v>15303.1</v>
      </c>
      <c r="D30" s="61">
        <f>C30+SUMIFS('Factures 2024'!E:E,'Factures 2024'!H:H,"prev",'Factures 2024'!N:N,"&lt;2025",'Factures 2024'!O:O,5)</f>
        <v>15303.1</v>
      </c>
      <c r="E30" s="109">
        <f>D30-C10/11.3</f>
        <v>-2102.5573451327418</v>
      </c>
      <c r="F30" s="111">
        <f t="shared" si="48"/>
        <v>7653.213274336289</v>
      </c>
      <c r="I30" s="84" t="s">
        <v>22</v>
      </c>
      <c r="K30">
        <v>230</v>
      </c>
      <c r="L30">
        <v>7765</v>
      </c>
      <c r="M30">
        <v>7995</v>
      </c>
      <c r="Q30" s="69"/>
    </row>
    <row r="31">
      <c r="B31" s="108" t="s">
        <v>248</v>
      </c>
      <c r="C31" s="104">
        <f>SUMIFS('Factures 2024'!E:E,'Factures 2024'!H:H,"oui",'Factures 2024'!N:N,"&lt;2025",'Factures 2024'!O:O,6)+SUMIFS('Factures 2024'!E:E,'Factures 2024'!H:H,"non",'Factures 2024'!N:N,"&lt;2025",'Factures 2024'!O:O,6)</f>
        <v>17905.200000000001</v>
      </c>
      <c r="D31" s="61">
        <f>C31+SUMIFS('Factures 2024'!E:E,'Factures 2024'!H:H,"prev",'Factures 2024'!N:N,"&lt;2025",'Factures 2024'!O:O,6)</f>
        <v>17905.200000000001</v>
      </c>
      <c r="E31" s="109">
        <f>D31-C10/11.3</f>
        <v>499.54265486725853</v>
      </c>
      <c r="F31" s="111">
        <f t="shared" si="48"/>
        <v>8152.7559292035476</v>
      </c>
      <c r="I31" s="84" t="s">
        <v>16</v>
      </c>
      <c r="K31">
        <v>1260</v>
      </c>
      <c r="L31">
        <v>2520</v>
      </c>
      <c r="M31">
        <v>3780</v>
      </c>
      <c r="Q31" s="69"/>
    </row>
    <row r="32">
      <c r="B32" s="108" t="s">
        <v>249</v>
      </c>
      <c r="C32" s="104">
        <f>SUMIFS('Factures 2024'!E:E,'Factures 2024'!H:H,"oui",'Factures 2024'!N:N,"&lt;2025",'Factures 2024'!O:O,7)+SUMIFS('Factures 2024'!E:E,'Factures 2024'!H:H,"non",'Factures 2024'!N:N,"&lt;2025",'Factures 2024'!O:O,7)</f>
        <v>22722.299999999999</v>
      </c>
      <c r="D32" s="61">
        <f>C32+SUMIFS('Factures 2024'!E:E,'Factures 2024'!H:H,"prev",'Factures 2024'!N:N,"&lt;2025",'Factures 2024'!O:O,7)</f>
        <v>22722.299999999999</v>
      </c>
      <c r="E32" s="109">
        <f>D32-C10/11.3</f>
        <v>5316.6426548672571</v>
      </c>
      <c r="F32" s="111">
        <f t="shared" si="48"/>
        <v>13469.398584070805</v>
      </c>
      <c r="I32" s="84" t="s">
        <v>101</v>
      </c>
      <c r="L32">
        <v>3444</v>
      </c>
      <c r="M32">
        <v>3444</v>
      </c>
      <c r="Q32" s="69"/>
    </row>
    <row r="33">
      <c r="B33" s="108" t="s">
        <v>250</v>
      </c>
      <c r="C33" s="104">
        <f>SUMIFS('Factures 2024'!E:E,'Factures 2024'!H:H,"oui",'Factures 2024'!N:N,"&lt;2025",'Factures 2024'!O:O,8)+SUMIFS('Factures 2024'!E:E,'Factures 2024'!H:H,"non",'Factures 2024'!N:N,"&lt;2025",'Factures 2024'!O:O,8)</f>
        <v>5187.6000000000004</v>
      </c>
      <c r="D33" s="61">
        <f>C33+SUMIFS('Factures 2024'!E:E,'Factures 2024'!H:H,"prev",'Factures 2024'!N:N,"&lt;2025",'Factures 2024'!O:O,8)</f>
        <v>5187.6000000000004</v>
      </c>
      <c r="E33" s="109">
        <f>D33-C10/11.3*0.3</f>
        <v>-34.097203539821749</v>
      </c>
      <c r="F33" s="111">
        <f t="shared" si="48"/>
        <v>13435.301380530982</v>
      </c>
      <c r="I33" s="84" t="s">
        <v>172</v>
      </c>
      <c r="L33">
        <v>2850</v>
      </c>
      <c r="M33">
        <v>2850</v>
      </c>
      <c r="Q33" s="69"/>
    </row>
    <row r="34">
      <c r="B34" s="108" t="s">
        <v>251</v>
      </c>
      <c r="C34" s="104">
        <f>SUMIFS('Factures 2024'!E:E,'Factures 2024'!H:H,"oui",'Factures 2024'!N:N,"&lt;2025",'Factures 2024'!O:O,9)+SUMIFS('Factures 2024'!E:E,'Factures 2024'!H:H,"non",'Factures 2024'!N:N,"&lt;2025",'Factures 2024'!O:O,9)</f>
        <v>25822.239999999998</v>
      </c>
      <c r="D34" s="61">
        <f>C34+SUMIFS('Factures 2024'!E:E,'Factures 2024'!H:H,"prev",'Factures 2024'!N:N,"&lt;2025",'Factures 2024'!O:O,9)</f>
        <v>25822.239999999998</v>
      </c>
      <c r="E34" s="109">
        <f>D34-C10/11.3</f>
        <v>8416.5826548672558</v>
      </c>
      <c r="F34" s="111">
        <f t="shared" si="48"/>
        <v>21851.884035398238</v>
      </c>
      <c r="I34" s="84" t="s">
        <v>107</v>
      </c>
      <c r="L34">
        <v>2700</v>
      </c>
      <c r="M34">
        <v>2700</v>
      </c>
      <c r="Q34" s="69"/>
    </row>
    <row r="35">
      <c r="B35" s="108" t="s">
        <v>252</v>
      </c>
      <c r="C35" s="104">
        <f>SUMIFS('Factures 2024'!E:E,'Factures 2024'!H:H,"oui",'Factures 2024'!N:N,"&lt;2025",'Factures 2024'!O:O,10)+SUMIFS('Factures 2024'!E:E,'Factures 2024'!H:H,"non",'Factures 2024'!N:N,"&lt;2025",'Factures 2024'!O:O,10)</f>
        <v>18073.09</v>
      </c>
      <c r="D35" s="61">
        <f>C35+SUMIFS('Factures 2024'!E:E,'Factures 2024'!H:H,"prev",'Factures 2024'!N:N,"&lt;2025",'Factures 2024'!O:O,10)</f>
        <v>18073.09</v>
      </c>
      <c r="E35" s="109">
        <f>D35-C10/11.3</f>
        <v>667.43265486725795</v>
      </c>
      <c r="F35" s="111">
        <f t="shared" si="48"/>
        <v>22519.316690265496</v>
      </c>
      <c r="I35" s="84" t="s">
        <v>185</v>
      </c>
      <c r="L35">
        <v>1960</v>
      </c>
      <c r="M35">
        <v>1960</v>
      </c>
      <c r="Q35" s="69"/>
    </row>
    <row r="36">
      <c r="B36" s="108" t="s">
        <v>253</v>
      </c>
      <c r="C36" s="104">
        <f>SUMIFS('Factures 2024'!E:E,'Factures 2024'!H:H,"oui",'Factures 2024'!N:N,"&lt;2025",'Factures 2024'!O:O,11)+SUMIFS('Factures 2024'!E:E,'Factures 2024'!H:H,"non",'Factures 2024'!N:N,"&lt;2025",'Factures 2024'!O:O,11)</f>
        <v>25254.700000000001</v>
      </c>
      <c r="D36" s="61">
        <f>C36+SUMIFS('Factures 2024'!E:E,'Factures 2024'!H:H,"prev",'Factures 2024'!N:N,"&lt;2025",'Factures 2024'!O:O,11)</f>
        <v>25254.700000000001</v>
      </c>
      <c r="E36" s="109">
        <f>D36-C10/11.3</f>
        <v>7849.0426548672585</v>
      </c>
      <c r="F36" s="111">
        <f t="shared" si="48"/>
        <v>30368.359345132754</v>
      </c>
      <c r="I36" s="84" t="s">
        <v>174</v>
      </c>
      <c r="L36">
        <v>1900</v>
      </c>
      <c r="M36">
        <v>1900</v>
      </c>
      <c r="Q36" s="69"/>
    </row>
    <row r="37">
      <c r="B37" s="63" t="s">
        <v>254</v>
      </c>
      <c r="C37" s="64">
        <f>SUMIFS('Factures 2024'!E:E,'Factures 2024'!H:H,"oui",'Factures 2024'!N:N,"&lt;2025",'Factures 2024'!O:O,12)+SUMIFS('Factures 2024'!E:E,'Factures 2024'!H:H,"non",'Factures 2024'!N:N,"&lt;2025",'Factures 2024'!O:O,12)</f>
        <v>28957.400000000001</v>
      </c>
      <c r="D37" s="65">
        <f>C37+SUMIFS('Factures 2024'!E:E,'Factures 2024'!H:H,"prev",'Factures 2024'!N:N,"&lt;2025",'Factures 2024'!O:O,12)</f>
        <v>28957.400000000001</v>
      </c>
      <c r="E37" s="112">
        <f>D37-C10/11.3</f>
        <v>11551.742654867259</v>
      </c>
      <c r="F37" s="113">
        <f t="shared" si="48"/>
        <v>41920.102000000014</v>
      </c>
      <c r="I37" s="84" t="s">
        <v>50</v>
      </c>
      <c r="K37">
        <v>1200</v>
      </c>
      <c r="L37">
        <v>600</v>
      </c>
      <c r="M37">
        <v>1800</v>
      </c>
    </row>
    <row r="38" ht="14.25">
      <c r="I38" s="84" t="s">
        <v>151</v>
      </c>
      <c r="L38">
        <v>750</v>
      </c>
      <c r="M38">
        <v>750</v>
      </c>
      <c r="Q38" s="69"/>
    </row>
    <row r="39" ht="14.25">
      <c r="I39" s="84" t="s">
        <v>228</v>
      </c>
    </row>
    <row r="40">
      <c r="B40" s="30" t="s">
        <v>233</v>
      </c>
      <c r="C40" s="48" t="s">
        <v>65</v>
      </c>
      <c r="D40" s="48" t="s">
        <v>66</v>
      </c>
      <c r="E40" s="48" t="s">
        <v>210</v>
      </c>
      <c r="I40" s="84" t="s">
        <v>215</v>
      </c>
      <c r="K40">
        <v>38465</v>
      </c>
      <c r="L40">
        <v>200139.03</v>
      </c>
      <c r="M40">
        <v>238604.03</v>
      </c>
    </row>
    <row r="41">
      <c r="B41" s="48" t="s">
        <v>242</v>
      </c>
      <c r="C41" s="29">
        <f>C44-C43-C42</f>
        <v>5994.4000000000051</v>
      </c>
      <c r="D41" s="29">
        <f>D44-D43-D42</f>
        <v>5994.4000000000051</v>
      </c>
      <c r="E41" s="29">
        <f>E44-E43-E42</f>
        <v>5994.4000000000051</v>
      </c>
    </row>
    <row r="42">
      <c r="B42" s="108" t="s">
        <v>255</v>
      </c>
      <c r="C42" s="114">
        <f>I7*I9*1.42</f>
        <v>12425</v>
      </c>
      <c r="D42" s="114">
        <f t="shared" ref="D42:D44" si="49">C42</f>
        <v>12425</v>
      </c>
      <c r="E42" s="114">
        <f t="shared" ref="E42:E44" si="50">D42</f>
        <v>12425</v>
      </c>
    </row>
    <row r="43">
      <c r="B43" s="108" t="s">
        <v>256</v>
      </c>
      <c r="C43" s="114">
        <f>SUM('Charges 2024'!J:J)*1.2*I9/12</f>
        <v>1584.5999999999997</v>
      </c>
      <c r="D43" s="114">
        <f t="shared" si="49"/>
        <v>1584.5999999999997</v>
      </c>
      <c r="E43" s="114">
        <f t="shared" si="50"/>
        <v>1584.5999999999997</v>
      </c>
    </row>
    <row r="44">
      <c r="B44" s="63" t="s">
        <v>257</v>
      </c>
      <c r="C44" s="76">
        <f>16.67*I9*J7</f>
        <v>20004.000000000004</v>
      </c>
      <c r="D44" s="114">
        <f t="shared" si="49"/>
        <v>20004.000000000004</v>
      </c>
      <c r="E44" s="114">
        <f t="shared" si="50"/>
        <v>20004.000000000004</v>
      </c>
    </row>
    <row r="45">
      <c r="B45" s="54" t="s">
        <v>92</v>
      </c>
      <c r="C45" s="29">
        <f>C16+C41</f>
        <v>47914.502000000022</v>
      </c>
      <c r="D45" s="29">
        <f>D16+D41</f>
        <v>47914.502000000022</v>
      </c>
      <c r="E45" s="29">
        <f>E41+E16</f>
        <v>47914.502000000022</v>
      </c>
    </row>
    <row r="46" ht="14.25">
      <c r="F46" t="s">
        <v>258</v>
      </c>
      <c r="I46" t="s">
        <v>212</v>
      </c>
      <c r="J46" t="s">
        <v>213</v>
      </c>
    </row>
    <row r="47" ht="14.25">
      <c r="I47" t="s">
        <v>214</v>
      </c>
      <c r="J47" t="s">
        <v>17</v>
      </c>
      <c r="K47" t="s">
        <v>13</v>
      </c>
      <c r="L47" t="s">
        <v>228</v>
      </c>
      <c r="M47" t="s">
        <v>215</v>
      </c>
    </row>
    <row r="48" ht="14.25">
      <c r="C48" s="31" t="s">
        <v>65</v>
      </c>
      <c r="D48" s="31" t="s">
        <v>259</v>
      </c>
      <c r="E48" s="31" t="s">
        <v>260</v>
      </c>
      <c r="I48" s="84">
        <v>1</v>
      </c>
      <c r="J48">
        <v>16140</v>
      </c>
      <c r="K48">
        <v>10456</v>
      </c>
      <c r="M48">
        <v>26596</v>
      </c>
    </row>
    <row r="49">
      <c r="B49" s="115" t="s">
        <v>261</v>
      </c>
      <c r="C49" s="36">
        <f>'Charges 2024'!C36-'Charges 2024'!B36</f>
        <v>186137.76000000001</v>
      </c>
      <c r="D49" s="36">
        <f>'Charges 2024'!D36</f>
        <v>223365.31200000001</v>
      </c>
      <c r="E49" s="43">
        <f>'Charges 2024'!E36</f>
        <v>238604.03000000003</v>
      </c>
      <c r="I49" s="84">
        <v>2</v>
      </c>
      <c r="J49">
        <v>11845</v>
      </c>
      <c r="K49">
        <v>9438</v>
      </c>
      <c r="M49">
        <v>21283</v>
      </c>
    </row>
    <row r="50">
      <c r="B50" s="116" t="s">
        <v>262</v>
      </c>
      <c r="C50" s="36">
        <f>'Charges 2024'!B35</f>
        <v>112659.62999999999</v>
      </c>
      <c r="D50" s="36">
        <f>'Charges 2024'!D35+'Bilan 2024'!J4*2*1.42</f>
        <v>146551.55599999998</v>
      </c>
      <c r="E50" s="117">
        <f>'Charges 2024'!E35</f>
        <v>156088</v>
      </c>
      <c r="I50" s="84">
        <v>3</v>
      </c>
      <c r="J50">
        <v>10187.5</v>
      </c>
      <c r="K50">
        <v>8355</v>
      </c>
      <c r="M50">
        <v>18542.5</v>
      </c>
    </row>
    <row r="51">
      <c r="B51" s="116" t="s">
        <v>263</v>
      </c>
      <c r="C51" s="36">
        <f>'Charges 2024'!B32+'Charges 2024'!B33-'Charges 2024'!C33-'Charges 2024'!C34-'Charges 2024'!C37+'Charges 2024'!B34+'Charges 2024'!B37</f>
        <v>56631.760000000009</v>
      </c>
      <c r="D51" s="36">
        <f>'Charges 2024'!D32</f>
        <v>64263.112000000008</v>
      </c>
      <c r="E51" s="36">
        <f>'Charges 2024'!E32</f>
        <v>40595.928</v>
      </c>
      <c r="I51" s="84">
        <v>4</v>
      </c>
      <c r="J51">
        <v>4910.8999999999996</v>
      </c>
      <c r="K51">
        <v>8046</v>
      </c>
      <c r="M51">
        <v>12956.9</v>
      </c>
    </row>
    <row r="52">
      <c r="B52" s="118" t="s">
        <v>264</v>
      </c>
      <c r="C52" s="29">
        <f>C49-C50-C51</f>
        <v>16846.37000000001</v>
      </c>
      <c r="D52" s="29">
        <f>D49-D50-D51</f>
        <v>12550.644000000015</v>
      </c>
      <c r="E52" s="29">
        <f>E49-E50-E51</f>
        <v>41920.102000000028</v>
      </c>
      <c r="I52" s="84">
        <v>5</v>
      </c>
      <c r="J52">
        <v>7392.5</v>
      </c>
      <c r="K52">
        <v>7910.6000000000004</v>
      </c>
      <c r="M52">
        <v>15303.1</v>
      </c>
    </row>
    <row r="53">
      <c r="C53" s="119"/>
      <c r="D53" s="119"/>
      <c r="E53" s="120"/>
      <c r="I53" s="84">
        <v>6</v>
      </c>
      <c r="J53">
        <v>8805</v>
      </c>
      <c r="K53">
        <v>9100.2000000000007</v>
      </c>
      <c r="M53">
        <v>17905.200000000001</v>
      </c>
    </row>
    <row r="54">
      <c r="C54" s="119"/>
      <c r="D54" s="119"/>
      <c r="E54" s="120"/>
      <c r="I54" s="84">
        <v>7</v>
      </c>
      <c r="J54">
        <v>12387.5</v>
      </c>
      <c r="K54">
        <v>10334.799999999999</v>
      </c>
      <c r="M54">
        <v>22722.299999999999</v>
      </c>
    </row>
    <row r="55">
      <c r="C55" s="121" t="s">
        <v>210</v>
      </c>
      <c r="D55" s="121" t="s">
        <v>67</v>
      </c>
      <c r="E55" s="120"/>
      <c r="I55" s="84">
        <v>8</v>
      </c>
      <c r="J55">
        <v>1880</v>
      </c>
      <c r="K55">
        <v>3307.5999999999999</v>
      </c>
      <c r="M55">
        <v>5187.6000000000004</v>
      </c>
    </row>
    <row r="56">
      <c r="B56" s="122" t="s">
        <v>265</v>
      </c>
      <c r="C56" s="123">
        <f>E16</f>
        <v>41920.102000000014</v>
      </c>
      <c r="D56" s="124">
        <f>F16*0.85</f>
        <v>35632.086700000007</v>
      </c>
      <c r="I56" s="84">
        <v>9</v>
      </c>
      <c r="J56">
        <v>5075</v>
      </c>
      <c r="K56">
        <v>20747.239999999998</v>
      </c>
      <c r="M56">
        <v>25822.239999999998</v>
      </c>
    </row>
    <row r="57">
      <c r="B57" s="11" t="s">
        <v>266</v>
      </c>
      <c r="C57" s="125">
        <f>C56*E57</f>
        <v>12576.030600000004</v>
      </c>
      <c r="D57" s="125">
        <f>D56*E57</f>
        <v>10689.626010000002</v>
      </c>
      <c r="E57" s="126">
        <v>0.29999999999999999</v>
      </c>
      <c r="I57" s="84">
        <v>10</v>
      </c>
      <c r="J57">
        <v>9495</v>
      </c>
      <c r="K57">
        <v>8578.0900000000001</v>
      </c>
      <c r="M57">
        <v>18073.09</v>
      </c>
    </row>
    <row r="58">
      <c r="B58" s="11" t="s">
        <v>267</v>
      </c>
      <c r="C58" s="125">
        <f>C56*E58</f>
        <v>29344.071400000008</v>
      </c>
      <c r="D58" s="125">
        <f>D56*E58</f>
        <v>24942.460690000004</v>
      </c>
      <c r="E58" s="127">
        <v>0.69999999999999996</v>
      </c>
      <c r="I58" s="84">
        <v>11</v>
      </c>
      <c r="J58">
        <v>15085</v>
      </c>
      <c r="K58">
        <v>10169.700000000001</v>
      </c>
      <c r="M58">
        <v>25254.700000000001</v>
      </c>
    </row>
    <row r="59" ht="14.25">
      <c r="B59" s="11" t="s">
        <v>268</v>
      </c>
      <c r="C59" s="128">
        <f>C56*E59*0.67*0.85</f>
        <v>0</v>
      </c>
      <c r="D59" s="128">
        <f>D56*E59*0.67*0.85</f>
        <v>0</v>
      </c>
      <c r="E59" s="127">
        <v>0</v>
      </c>
      <c r="I59" s="84">
        <v>12</v>
      </c>
      <c r="J59">
        <v>9605</v>
      </c>
      <c r="K59">
        <v>19352.400000000001</v>
      </c>
      <c r="M59">
        <v>28957.400000000001</v>
      </c>
    </row>
    <row r="60">
      <c r="B60" s="11" t="s">
        <v>269</v>
      </c>
      <c r="C60" s="129">
        <f>(C58+C59)/2</f>
        <v>14672.035700000004</v>
      </c>
      <c r="D60" s="129">
        <f>(D58+D59)/2</f>
        <v>12471.230345000002</v>
      </c>
      <c r="I60" s="84" t="s">
        <v>228</v>
      </c>
    </row>
    <row r="61">
      <c r="B61" s="11" t="s">
        <v>270</v>
      </c>
      <c r="C61" s="130">
        <f>0.15*(E59+E58-E57)*C56</f>
        <v>2515.2061200000003</v>
      </c>
      <c r="D61" s="130">
        <f>0.15*(E59+E58-E57)*D56</f>
        <v>2137.9252019999999</v>
      </c>
      <c r="I61" s="84" t="s">
        <v>215</v>
      </c>
      <c r="J61">
        <v>112808.39999999999</v>
      </c>
      <c r="K61">
        <v>125795.63</v>
      </c>
      <c r="M61">
        <v>238604.03</v>
      </c>
    </row>
    <row r="62">
      <c r="B62" s="11" t="s">
        <v>271</v>
      </c>
      <c r="C62" s="131">
        <f>E59*C56*0.33*0.85</f>
        <v>0</v>
      </c>
      <c r="D62" s="131">
        <f>E59*D56*0.33*0.85</f>
        <v>0</v>
      </c>
    </row>
    <row r="63" ht="14.25">
      <c r="C63" s="124"/>
      <c r="D63" s="124"/>
      <c r="E63" s="45"/>
    </row>
    <row r="64" ht="14.25">
      <c r="A64" t="s">
        <v>272</v>
      </c>
      <c r="B64" t="s">
        <v>273</v>
      </c>
      <c r="C64" s="132">
        <f>C58-E58*C56*0.85/1.42</f>
        <v>11778.958238028172</v>
      </c>
      <c r="D64" s="132">
        <f>D58-E58*D56*0.85/1.42</f>
        <v>10012.114502323944</v>
      </c>
    </row>
    <row r="65">
      <c r="A65" t="s">
        <v>274</v>
      </c>
      <c r="B65" s="133" t="s">
        <v>270</v>
      </c>
      <c r="C65" s="28">
        <f>C56*0.15-C61</f>
        <v>3772.8091800000016</v>
      </c>
      <c r="D65" s="28">
        <f>D56*0.15-D61</f>
        <v>3206.887803000001</v>
      </c>
    </row>
    <row r="66">
      <c r="C66" s="119"/>
      <c r="D66" s="119"/>
    </row>
    <row r="67" ht="14.25">
      <c r="D67" s="28"/>
    </row>
    <row r="68">
      <c r="C68" s="119"/>
    </row>
    <row r="69" ht="14.25">
      <c r="F69" t="s">
        <v>275</v>
      </c>
    </row>
    <row r="70" ht="14.25">
      <c r="E70" s="134">
        <v>45419</v>
      </c>
      <c r="F70" s="103">
        <v>40813</v>
      </c>
    </row>
    <row r="71" ht="14.25">
      <c r="E71" s="134">
        <v>45428</v>
      </c>
      <c r="F71" s="103">
        <v>46600</v>
      </c>
    </row>
    <row r="72" ht="14.25">
      <c r="C72" s="28"/>
      <c r="E72" s="134">
        <v>45433</v>
      </c>
      <c r="F72" s="103">
        <v>38300</v>
      </c>
    </row>
    <row r="73" ht="14.25">
      <c r="C73" s="119"/>
      <c r="E73" s="134">
        <v>45441</v>
      </c>
      <c r="F73" s="103">
        <v>47000</v>
      </c>
    </row>
    <row r="74" ht="14.25">
      <c r="C74" s="119"/>
      <c r="E74" s="134">
        <v>45454</v>
      </c>
      <c r="F74" s="103">
        <v>39500</v>
      </c>
    </row>
    <row r="75" ht="14.25">
      <c r="C75" s="18"/>
      <c r="E75" s="134">
        <v>45460</v>
      </c>
      <c r="F75" s="103">
        <v>38500</v>
      </c>
    </row>
    <row r="76" ht="14.25">
      <c r="E76" s="134">
        <v>45464</v>
      </c>
      <c r="F76" s="103">
        <v>27300</v>
      </c>
    </row>
    <row r="77" ht="14.25">
      <c r="E77" s="134">
        <v>45471</v>
      </c>
      <c r="F77" s="103">
        <v>29300</v>
      </c>
    </row>
    <row r="78" ht="14.25">
      <c r="E78" s="134">
        <v>45476</v>
      </c>
      <c r="F78" s="103">
        <v>-540</v>
      </c>
    </row>
    <row r="79" ht="14.25">
      <c r="E79" s="134">
        <v>45485</v>
      </c>
      <c r="F79" s="103">
        <v>-3200</v>
      </c>
    </row>
    <row r="80" ht="14.25">
      <c r="E80" s="134">
        <v>45490</v>
      </c>
      <c r="F80" s="103">
        <v>-2300</v>
      </c>
    </row>
    <row r="81" ht="14.25">
      <c r="E81" s="134">
        <v>45495</v>
      </c>
      <c r="F81" s="103">
        <v>-2600</v>
      </c>
    </row>
    <row r="82" ht="14.25">
      <c r="E82" s="134">
        <v>45506</v>
      </c>
      <c r="F82" s="103">
        <v>-5300</v>
      </c>
    </row>
    <row r="83" ht="14.25">
      <c r="E83" s="134">
        <v>45530</v>
      </c>
      <c r="F83" s="103">
        <v>370</v>
      </c>
    </row>
    <row r="84" ht="14.25">
      <c r="E84" s="134">
        <v>45538</v>
      </c>
      <c r="F84" s="103">
        <v>1100</v>
      </c>
    </row>
    <row r="85" ht="14.25">
      <c r="E85" s="134">
        <v>45540</v>
      </c>
      <c r="F85" s="103">
        <v>1200</v>
      </c>
    </row>
    <row r="86" ht="14.25">
      <c r="E86" s="134">
        <v>45550</v>
      </c>
      <c r="F86" s="103">
        <v>12600</v>
      </c>
    </row>
    <row r="87" ht="14.25">
      <c r="E87" s="134">
        <v>45561</v>
      </c>
      <c r="F87" s="103">
        <v>14700</v>
      </c>
    </row>
    <row r="88" ht="14.25">
      <c r="E88" s="134">
        <v>45566</v>
      </c>
      <c r="F88" s="103">
        <v>16600</v>
      </c>
    </row>
    <row r="89" ht="14.25">
      <c r="E89" s="134">
        <v>45567</v>
      </c>
      <c r="F89" s="103">
        <v>18300</v>
      </c>
    </row>
    <row r="90" ht="14.25">
      <c r="E90" s="134">
        <v>45572</v>
      </c>
      <c r="F90" s="103">
        <v>28000</v>
      </c>
    </row>
    <row r="91" ht="14.25">
      <c r="E91" s="134">
        <v>45574</v>
      </c>
      <c r="F91" s="103">
        <v>36300</v>
      </c>
    </row>
    <row r="92" ht="14.25">
      <c r="E92" s="134">
        <v>45580</v>
      </c>
      <c r="F92" s="103">
        <v>44400</v>
      </c>
    </row>
    <row r="93" ht="14.25">
      <c r="E93" s="134">
        <v>45581</v>
      </c>
      <c r="F93" s="103">
        <v>47600</v>
      </c>
    </row>
    <row r="94" ht="14.25">
      <c r="E94" s="134">
        <v>45586</v>
      </c>
      <c r="F94" s="103">
        <v>47200</v>
      </c>
    </row>
    <row r="95" ht="14.25">
      <c r="E95" s="134">
        <v>45594</v>
      </c>
      <c r="F95" s="103">
        <v>38500</v>
      </c>
    </row>
    <row r="96" ht="14.25">
      <c r="E96" s="134">
        <v>45600</v>
      </c>
      <c r="F96" s="103">
        <v>39300</v>
      </c>
    </row>
    <row r="97" ht="14.25">
      <c r="E97" s="134">
        <v>45617</v>
      </c>
      <c r="F97" s="103">
        <v>41500</v>
      </c>
    </row>
    <row r="98" ht="14.25">
      <c r="E98" s="134">
        <v>45635</v>
      </c>
      <c r="F98" s="103">
        <v>41900</v>
      </c>
    </row>
    <row r="99" ht="14.25">
      <c r="F99" s="103">
        <f t="shared" ref="F99:F100" si="51">F98</f>
        <v>41900</v>
      </c>
    </row>
    <row r="100" ht="14.25">
      <c r="F100" s="103">
        <f t="shared" si="51"/>
        <v>41900</v>
      </c>
    </row>
    <row r="101" ht="14.25">
      <c r="F101" s="103">
        <f t="shared" ref="F101:F108" si="52">F100</f>
        <v>41900</v>
      </c>
    </row>
    <row r="102" ht="14.25">
      <c r="F102" s="103">
        <f t="shared" si="52"/>
        <v>41900</v>
      </c>
    </row>
    <row r="103" ht="14.25">
      <c r="F103" s="103">
        <f t="shared" si="52"/>
        <v>41900</v>
      </c>
    </row>
    <row r="104" ht="14.25">
      <c r="F104" s="103">
        <f t="shared" si="52"/>
        <v>41900</v>
      </c>
    </row>
    <row r="105" ht="14.25">
      <c r="F105" s="103">
        <f t="shared" si="52"/>
        <v>41900</v>
      </c>
    </row>
    <row r="106" ht="14.25">
      <c r="F106" s="103">
        <f t="shared" si="52"/>
        <v>41900</v>
      </c>
    </row>
    <row r="107" ht="14.25">
      <c r="F107" s="103">
        <f t="shared" si="52"/>
        <v>41900</v>
      </c>
    </row>
    <row r="108" ht="14.25">
      <c r="F108" s="103">
        <f t="shared" si="52"/>
        <v>41900</v>
      </c>
    </row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4" operator="lessThan" id="{00960031-0069-490A-9C88-00260012000C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C45:E45</xm:sqref>
        </x14:conditionalFormatting>
        <x14:conditionalFormatting xmlns:xm="http://schemas.microsoft.com/office/excel/2006/main">
          <x14:cfRule type="cellIs" priority="33" operator="lessThan" id="{000000CC-0032-4463-9156-00A9009C00D9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C41:E41</xm:sqref>
        </x14:conditionalFormatting>
        <x14:conditionalFormatting xmlns:xm="http://schemas.microsoft.com/office/excel/2006/main">
          <x14:cfRule type="cellIs" priority="30" operator="greaterThan" id="{007F00CD-00D0-424A-8A54-0029001700D2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C45:E45</xm:sqref>
        </x14:conditionalFormatting>
        <x14:conditionalFormatting xmlns:xm="http://schemas.microsoft.com/office/excel/2006/main">
          <x14:cfRule type="cellIs" priority="29" operator="greaterThan" id="{00640038-0090-4A57-80A3-0074002500F0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C41:E41</xm:sqref>
        </x14:conditionalFormatting>
        <x14:conditionalFormatting xmlns:xm="http://schemas.microsoft.com/office/excel/2006/main">
          <x14:cfRule type="cellIs" priority="28" operator="greaterThan" id="{00A10043-006F-4CC7-83D1-003E005E00A2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C16:E16 F16</xm:sqref>
        </x14:conditionalFormatting>
        <x14:conditionalFormatting xmlns:xm="http://schemas.microsoft.com/office/excel/2006/main">
          <x14:cfRule type="cellIs" priority="28" operator="greaterThan" id="{00F0006F-0060-441E-B1FD-009400EC000B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F18</xm:sqref>
        </x14:conditionalFormatting>
        <x14:conditionalFormatting xmlns:xm="http://schemas.microsoft.com/office/excel/2006/main">
          <x14:cfRule type="cellIs" priority="28" operator="greaterThan" id="{00580040-00FB-4568-812E-002E00980077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C52 D52 E52</xm:sqref>
        </x14:conditionalFormatting>
        <x14:conditionalFormatting xmlns:xm="http://schemas.microsoft.com/office/excel/2006/main">
          <x14:cfRule type="cellIs" priority="27" operator="lessThan" id="{00E700DC-0009-4A45-8942-00D100B50020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C16:E16 F16</xm:sqref>
        </x14:conditionalFormatting>
        <x14:conditionalFormatting xmlns:xm="http://schemas.microsoft.com/office/excel/2006/main">
          <x14:cfRule type="cellIs" priority="27" operator="lessThan" id="{009400CF-00D6-4689-888F-0093001A0067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F18</xm:sqref>
        </x14:conditionalFormatting>
        <x14:conditionalFormatting xmlns:xm="http://schemas.microsoft.com/office/excel/2006/main">
          <x14:cfRule type="cellIs" priority="27" operator="lessThan" id="{003B00D1-0071-4BC3-B7EB-0002006300C2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C52 D52 E52</xm:sqref>
        </x14:conditionalFormatting>
        <x14:conditionalFormatting xmlns:xm="http://schemas.microsoft.com/office/excel/2006/main">
          <x14:cfRule type="cellIs" priority="2" operator="lessThan" id="{001B00CB-003D-46FB-9B79-00FC00FF000A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E25:F37</xm:sqref>
        </x14:conditionalFormatting>
        <x14:conditionalFormatting xmlns:xm="http://schemas.microsoft.com/office/excel/2006/main">
          <x14:cfRule type="cellIs" priority="1" operator="greaterThan" id="{000C001E-006F-43A5-9E60-0093009C00F2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E25:F37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46" activeCellId="0" sqref="D46"/>
    </sheetView>
  </sheetViews>
  <sheetFormatPr baseColWidth="10" defaultRowHeight="14.25"/>
  <cols>
    <col customWidth="1" min="1" max="1" style="1" width="13.42578125"/>
    <col customWidth="1" min="2" max="3" style="1" width="16.28515625"/>
    <col customWidth="1" min="4" max="4" style="2" width="23.42578125"/>
    <col customWidth="1" min="5" max="6" style="3" width="16.42578125"/>
    <col customWidth="1" min="7" max="7" style="3" width="19.42578125"/>
    <col min="8" max="8" style="4" width="11.42578125"/>
    <col customWidth="1" min="9" max="9" width="13.85546875"/>
    <col customWidth="1" min="10" max="10" width="14.85546875"/>
    <col customWidth="1" min="11" max="11" width="15.140625"/>
  </cols>
  <sheetData>
    <row r="1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10" t="s">
        <v>7</v>
      </c>
      <c r="Q1" s="13" t="s">
        <v>10</v>
      </c>
      <c r="R1" s="13" t="s">
        <v>11</v>
      </c>
    </row>
    <row r="2">
      <c r="A2" s="20">
        <v>44865</v>
      </c>
      <c r="B2" s="15" t="s">
        <v>19</v>
      </c>
      <c r="C2" s="15" t="s">
        <v>17</v>
      </c>
      <c r="D2" s="2">
        <v>202110005</v>
      </c>
      <c r="E2" s="3">
        <v>60</v>
      </c>
      <c r="F2" s="3">
        <v>0</v>
      </c>
      <c r="G2" s="3">
        <f t="shared" ref="G2:G9" si="53">F2+E2</f>
        <v>60</v>
      </c>
      <c r="H2" s="4" t="s">
        <v>15</v>
      </c>
      <c r="J2" s="135"/>
      <c r="K2" s="136"/>
      <c r="Q2">
        <f t="shared" ref="Q2:Q9" si="54">YEAR(A2)</f>
        <v>2022</v>
      </c>
      <c r="R2">
        <f t="shared" ref="R2:R9" si="55">MONTH(A2)</f>
        <v>10</v>
      </c>
    </row>
    <row r="3">
      <c r="A3" s="20">
        <v>44865</v>
      </c>
      <c r="B3" s="15" t="s">
        <v>19</v>
      </c>
      <c r="C3" s="15" t="s">
        <v>17</v>
      </c>
      <c r="D3" s="2">
        <v>202110006</v>
      </c>
      <c r="E3" s="3">
        <v>3600</v>
      </c>
      <c r="F3" s="3">
        <v>0</v>
      </c>
      <c r="G3" s="3">
        <f t="shared" si="53"/>
        <v>3600</v>
      </c>
      <c r="H3" s="4" t="s">
        <v>15</v>
      </c>
      <c r="J3" s="135"/>
      <c r="K3" s="136"/>
      <c r="Q3">
        <f t="shared" si="54"/>
        <v>2022</v>
      </c>
      <c r="R3">
        <f t="shared" si="55"/>
        <v>10</v>
      </c>
    </row>
    <row r="4">
      <c r="A4" s="20">
        <v>44835</v>
      </c>
      <c r="B4" s="15" t="s">
        <v>276</v>
      </c>
      <c r="C4" s="15" t="s">
        <v>13</v>
      </c>
      <c r="D4" s="2">
        <v>202209002</v>
      </c>
      <c r="E4" s="3">
        <v>1092</v>
      </c>
      <c r="F4" s="3">
        <f t="shared" ref="F4:F8" si="56">0.2*E4</f>
        <v>218.40000000000001</v>
      </c>
      <c r="G4" s="3">
        <f t="shared" si="53"/>
        <v>1310.4000000000001</v>
      </c>
      <c r="H4" s="137" t="s">
        <v>15</v>
      </c>
      <c r="Q4">
        <f t="shared" si="54"/>
        <v>2022</v>
      </c>
      <c r="R4">
        <f t="shared" si="55"/>
        <v>10</v>
      </c>
    </row>
    <row r="5">
      <c r="A5" s="20">
        <v>44847</v>
      </c>
      <c r="B5" s="15" t="s">
        <v>12</v>
      </c>
      <c r="C5" s="15" t="s">
        <v>17</v>
      </c>
      <c r="D5" s="2">
        <v>202210001</v>
      </c>
      <c r="E5" s="3">
        <v>375</v>
      </c>
      <c r="F5" s="3">
        <f t="shared" si="56"/>
        <v>75</v>
      </c>
      <c r="G5" s="3">
        <f t="shared" si="53"/>
        <v>450</v>
      </c>
      <c r="H5" s="137" t="s">
        <v>15</v>
      </c>
      <c r="Q5">
        <f t="shared" si="54"/>
        <v>2022</v>
      </c>
      <c r="R5">
        <f t="shared" si="55"/>
        <v>10</v>
      </c>
    </row>
    <row r="6">
      <c r="A6" s="20">
        <v>44854</v>
      </c>
      <c r="B6" s="15" t="s">
        <v>12</v>
      </c>
      <c r="C6" s="15" t="s">
        <v>17</v>
      </c>
      <c r="D6" s="2">
        <v>202210002</v>
      </c>
      <c r="E6" s="3">
        <v>200</v>
      </c>
      <c r="F6" s="3">
        <f t="shared" si="56"/>
        <v>40</v>
      </c>
      <c r="G6" s="3">
        <f t="shared" si="53"/>
        <v>240</v>
      </c>
      <c r="H6" s="137" t="s">
        <v>15</v>
      </c>
      <c r="Q6">
        <f t="shared" si="54"/>
        <v>2022</v>
      </c>
      <c r="R6">
        <f t="shared" si="55"/>
        <v>10</v>
      </c>
    </row>
    <row r="7">
      <c r="A7" s="20">
        <v>44862</v>
      </c>
      <c r="B7" s="15" t="s">
        <v>107</v>
      </c>
      <c r="C7" s="15" t="s">
        <v>13</v>
      </c>
      <c r="D7" s="2">
        <v>202210003</v>
      </c>
      <c r="E7" s="3">
        <f>450*16</f>
        <v>7200</v>
      </c>
      <c r="F7" s="3">
        <f t="shared" si="56"/>
        <v>1440</v>
      </c>
      <c r="G7" s="3">
        <f t="shared" si="53"/>
        <v>8640</v>
      </c>
      <c r="H7" s="4" t="s">
        <v>15</v>
      </c>
      <c r="Q7">
        <f t="shared" si="54"/>
        <v>2022</v>
      </c>
      <c r="R7">
        <f t="shared" si="55"/>
        <v>10</v>
      </c>
    </row>
    <row r="8">
      <c r="A8" s="20">
        <v>44862</v>
      </c>
      <c r="B8" s="15" t="s">
        <v>276</v>
      </c>
      <c r="C8" s="15" t="s">
        <v>13</v>
      </c>
      <c r="D8" s="2">
        <v>202210004</v>
      </c>
      <c r="E8" s="3">
        <v>336</v>
      </c>
      <c r="F8" s="3">
        <f t="shared" si="56"/>
        <v>67.200000000000003</v>
      </c>
      <c r="G8" s="3">
        <f t="shared" si="53"/>
        <v>403.19999999999999</v>
      </c>
      <c r="H8" s="4" t="s">
        <v>15</v>
      </c>
      <c r="Q8">
        <f t="shared" si="54"/>
        <v>2022</v>
      </c>
      <c r="R8">
        <f t="shared" si="55"/>
        <v>10</v>
      </c>
    </row>
    <row r="9">
      <c r="A9" s="20">
        <v>44868</v>
      </c>
      <c r="B9" s="1" t="s">
        <v>45</v>
      </c>
      <c r="C9" s="15" t="s">
        <v>17</v>
      </c>
      <c r="D9" s="2">
        <v>202211001</v>
      </c>
      <c r="E9" s="3">
        <f>650</f>
        <v>650</v>
      </c>
      <c r="F9" s="3">
        <v>0</v>
      </c>
      <c r="G9" s="3">
        <f t="shared" si="53"/>
        <v>650</v>
      </c>
      <c r="H9" s="4" t="s">
        <v>15</v>
      </c>
      <c r="Q9">
        <f t="shared" si="54"/>
        <v>2022</v>
      </c>
      <c r="R9">
        <f t="shared" si="55"/>
        <v>11</v>
      </c>
    </row>
    <row r="10">
      <c r="A10" s="20">
        <v>44872</v>
      </c>
      <c r="B10" s="15" t="s">
        <v>12</v>
      </c>
      <c r="C10" s="15" t="s">
        <v>13</v>
      </c>
      <c r="D10" s="2">
        <v>202211002</v>
      </c>
      <c r="E10" s="3">
        <v>640</v>
      </c>
      <c r="F10" s="3">
        <f t="shared" ref="F10:F67" si="57">0.2*E10</f>
        <v>128</v>
      </c>
      <c r="G10" s="3">
        <f t="shared" ref="G10:G67" si="58">F10+E10</f>
        <v>768</v>
      </c>
      <c r="H10" s="4" t="s">
        <v>15</v>
      </c>
      <c r="Q10">
        <f t="shared" ref="Q10:Q73" si="59">YEAR(A10)</f>
        <v>2022</v>
      </c>
      <c r="R10">
        <f t="shared" ref="R10:R73" si="60">MONTH(A10)</f>
        <v>11</v>
      </c>
    </row>
    <row r="11">
      <c r="A11" s="20">
        <v>44872</v>
      </c>
      <c r="B11" s="15" t="s">
        <v>12</v>
      </c>
      <c r="C11" s="15" t="s">
        <v>17</v>
      </c>
      <c r="D11" s="2">
        <v>202211003</v>
      </c>
      <c r="E11" s="3">
        <v>1295</v>
      </c>
      <c r="F11" s="3">
        <f t="shared" si="57"/>
        <v>259</v>
      </c>
      <c r="G11" s="3">
        <f t="shared" si="58"/>
        <v>1554</v>
      </c>
      <c r="H11" s="4" t="s">
        <v>15</v>
      </c>
      <c r="Q11">
        <f t="shared" si="59"/>
        <v>2022</v>
      </c>
      <c r="R11">
        <f t="shared" si="60"/>
        <v>11</v>
      </c>
    </row>
    <row r="12">
      <c r="A12" s="20">
        <v>44875</v>
      </c>
      <c r="B12" s="15" t="s">
        <v>12</v>
      </c>
      <c r="C12" s="15" t="s">
        <v>17</v>
      </c>
      <c r="D12" s="2">
        <v>202211004</v>
      </c>
      <c r="E12" s="3">
        <v>375</v>
      </c>
      <c r="F12" s="3">
        <f t="shared" si="57"/>
        <v>75</v>
      </c>
      <c r="G12" s="3">
        <f t="shared" si="58"/>
        <v>450</v>
      </c>
      <c r="H12" s="4" t="s">
        <v>15</v>
      </c>
      <c r="Q12">
        <f t="shared" si="59"/>
        <v>2022</v>
      </c>
      <c r="R12">
        <f t="shared" si="60"/>
        <v>11</v>
      </c>
    </row>
    <row r="13">
      <c r="A13" s="20">
        <v>44893</v>
      </c>
      <c r="B13" s="15" t="s">
        <v>12</v>
      </c>
      <c r="C13" s="15" t="s">
        <v>17</v>
      </c>
      <c r="D13" s="19" t="s">
        <v>277</v>
      </c>
      <c r="E13" s="3">
        <v>200</v>
      </c>
      <c r="F13" s="3">
        <v>40</v>
      </c>
      <c r="G13" s="3">
        <f t="shared" si="58"/>
        <v>240</v>
      </c>
      <c r="H13" s="138" t="s">
        <v>15</v>
      </c>
      <c r="Q13">
        <f t="shared" si="59"/>
        <v>2022</v>
      </c>
      <c r="R13">
        <f t="shared" si="60"/>
        <v>11</v>
      </c>
    </row>
    <row r="14">
      <c r="A14" s="20">
        <v>44895</v>
      </c>
      <c r="B14" s="15" t="s">
        <v>107</v>
      </c>
      <c r="C14" s="15" t="s">
        <v>13</v>
      </c>
      <c r="D14" s="2" t="s">
        <v>278</v>
      </c>
      <c r="E14" s="3">
        <f>450*9</f>
        <v>4050</v>
      </c>
      <c r="F14" s="3">
        <f t="shared" si="57"/>
        <v>810</v>
      </c>
      <c r="G14" s="3">
        <f t="shared" si="58"/>
        <v>4860</v>
      </c>
      <c r="H14" s="4" t="s">
        <v>15</v>
      </c>
      <c r="Q14">
        <f t="shared" si="59"/>
        <v>2022</v>
      </c>
      <c r="R14">
        <f t="shared" si="60"/>
        <v>11</v>
      </c>
    </row>
    <row r="15">
      <c r="A15" s="20">
        <v>44895</v>
      </c>
      <c r="B15" s="15" t="s">
        <v>276</v>
      </c>
      <c r="C15" s="15" t="s">
        <v>13</v>
      </c>
      <c r="D15" s="2" t="s">
        <v>279</v>
      </c>
      <c r="E15" s="3">
        <f>72*17.5</f>
        <v>1260</v>
      </c>
      <c r="F15" s="3">
        <f t="shared" si="57"/>
        <v>252</v>
      </c>
      <c r="G15" s="3">
        <f t="shared" si="58"/>
        <v>1512</v>
      </c>
      <c r="H15" s="4" t="s">
        <v>15</v>
      </c>
      <c r="Q15">
        <f t="shared" si="59"/>
        <v>2022</v>
      </c>
      <c r="R15">
        <f t="shared" si="60"/>
        <v>11</v>
      </c>
    </row>
    <row r="16">
      <c r="A16" s="20">
        <v>44900</v>
      </c>
      <c r="B16" s="15" t="s">
        <v>12</v>
      </c>
      <c r="C16" s="15" t="s">
        <v>17</v>
      </c>
      <c r="D16" s="2" t="s">
        <v>280</v>
      </c>
      <c r="E16" s="3">
        <v>375</v>
      </c>
      <c r="F16" s="3">
        <f t="shared" si="57"/>
        <v>75</v>
      </c>
      <c r="G16" s="3">
        <f t="shared" si="58"/>
        <v>450</v>
      </c>
      <c r="H16" s="4" t="s">
        <v>15</v>
      </c>
      <c r="Q16">
        <f t="shared" si="59"/>
        <v>2022</v>
      </c>
      <c r="R16">
        <f t="shared" si="60"/>
        <v>12</v>
      </c>
    </row>
    <row r="17">
      <c r="A17" s="20">
        <v>44896</v>
      </c>
      <c r="B17" s="15" t="s">
        <v>19</v>
      </c>
      <c r="C17" s="15" t="s">
        <v>17</v>
      </c>
      <c r="D17" s="19" t="s">
        <v>281</v>
      </c>
      <c r="E17" s="3">
        <v>4500</v>
      </c>
      <c r="F17" s="3">
        <v>0</v>
      </c>
      <c r="G17" s="3">
        <f t="shared" si="58"/>
        <v>4500</v>
      </c>
      <c r="H17" s="138" t="s">
        <v>15</v>
      </c>
      <c r="Q17">
        <f t="shared" si="59"/>
        <v>2022</v>
      </c>
      <c r="R17">
        <f t="shared" si="60"/>
        <v>12</v>
      </c>
    </row>
    <row r="18">
      <c r="A18" s="20">
        <v>44899</v>
      </c>
      <c r="B18" s="15" t="s">
        <v>45</v>
      </c>
      <c r="C18" s="15" t="s">
        <v>17</v>
      </c>
      <c r="D18" s="2" t="s">
        <v>282</v>
      </c>
      <c r="E18" s="3">
        <v>750</v>
      </c>
      <c r="F18" s="3">
        <v>0</v>
      </c>
      <c r="G18" s="3">
        <v>750</v>
      </c>
      <c r="H18" s="4" t="s">
        <v>15</v>
      </c>
      <c r="Q18">
        <f t="shared" si="59"/>
        <v>2022</v>
      </c>
      <c r="R18">
        <f t="shared" si="60"/>
        <v>12</v>
      </c>
    </row>
    <row r="19">
      <c r="A19" s="20">
        <v>44900</v>
      </c>
      <c r="B19" s="15" t="s">
        <v>12</v>
      </c>
      <c r="C19" s="15" t="s">
        <v>13</v>
      </c>
      <c r="D19" s="19" t="s">
        <v>283</v>
      </c>
      <c r="E19" s="3">
        <f>14*40</f>
        <v>560</v>
      </c>
      <c r="F19" s="3">
        <f t="shared" si="57"/>
        <v>112</v>
      </c>
      <c r="G19" s="3">
        <f t="shared" si="58"/>
        <v>672</v>
      </c>
      <c r="H19" s="4" t="s">
        <v>15</v>
      </c>
      <c r="Q19">
        <f t="shared" si="59"/>
        <v>2022</v>
      </c>
      <c r="R19">
        <f t="shared" si="60"/>
        <v>12</v>
      </c>
    </row>
    <row r="20">
      <c r="A20" s="20">
        <v>44900</v>
      </c>
      <c r="B20" s="15" t="s">
        <v>12</v>
      </c>
      <c r="C20" s="15" t="s">
        <v>17</v>
      </c>
      <c r="D20" s="2" t="s">
        <v>284</v>
      </c>
      <c r="E20" s="3">
        <v>1115</v>
      </c>
      <c r="F20" s="3">
        <f t="shared" si="57"/>
        <v>223</v>
      </c>
      <c r="G20" s="3">
        <f t="shared" si="58"/>
        <v>1338</v>
      </c>
      <c r="H20" s="4" t="s">
        <v>15</v>
      </c>
      <c r="Q20">
        <f t="shared" si="59"/>
        <v>2022</v>
      </c>
      <c r="R20">
        <f t="shared" si="60"/>
        <v>12</v>
      </c>
    </row>
    <row r="21">
      <c r="A21" s="20">
        <v>44901</v>
      </c>
      <c r="B21" s="15" t="s">
        <v>12</v>
      </c>
      <c r="C21" s="15" t="s">
        <v>17</v>
      </c>
      <c r="D21" s="2" t="s">
        <v>285</v>
      </c>
      <c r="E21" s="3">
        <v>15</v>
      </c>
      <c r="F21" s="3">
        <f t="shared" si="57"/>
        <v>3</v>
      </c>
      <c r="G21" s="3">
        <f t="shared" si="58"/>
        <v>18</v>
      </c>
      <c r="H21" s="4" t="s">
        <v>15</v>
      </c>
      <c r="Q21">
        <f t="shared" si="59"/>
        <v>2022</v>
      </c>
      <c r="R21">
        <f t="shared" si="60"/>
        <v>12</v>
      </c>
    </row>
    <row r="22">
      <c r="A22" s="20">
        <v>44915</v>
      </c>
      <c r="B22" s="15" t="s">
        <v>286</v>
      </c>
      <c r="C22" s="15" t="s">
        <v>17</v>
      </c>
      <c r="D22" s="19" t="s">
        <v>287</v>
      </c>
      <c r="E22" s="3">
        <v>250</v>
      </c>
      <c r="F22" s="3">
        <f t="shared" si="57"/>
        <v>50</v>
      </c>
      <c r="G22" s="3">
        <f t="shared" si="58"/>
        <v>300</v>
      </c>
      <c r="H22" s="4" t="s">
        <v>15</v>
      </c>
      <c r="Q22">
        <f t="shared" si="59"/>
        <v>2022</v>
      </c>
      <c r="R22">
        <f t="shared" si="60"/>
        <v>12</v>
      </c>
    </row>
    <row r="23">
      <c r="A23" s="20">
        <v>44915</v>
      </c>
      <c r="B23" s="15" t="s">
        <v>19</v>
      </c>
      <c r="C23" s="15" t="s">
        <v>17</v>
      </c>
      <c r="D23" s="19" t="s">
        <v>288</v>
      </c>
      <c r="E23" s="3">
        <v>2700</v>
      </c>
      <c r="F23" s="3">
        <v>0</v>
      </c>
      <c r="G23" s="3">
        <f t="shared" si="58"/>
        <v>2700</v>
      </c>
      <c r="H23" s="4" t="s">
        <v>15</v>
      </c>
      <c r="Q23">
        <f t="shared" si="59"/>
        <v>2022</v>
      </c>
      <c r="R23">
        <f t="shared" si="60"/>
        <v>12</v>
      </c>
    </row>
    <row r="24">
      <c r="A24" s="20">
        <v>44915</v>
      </c>
      <c r="B24" s="15" t="s">
        <v>12</v>
      </c>
      <c r="C24" s="15" t="s">
        <v>13</v>
      </c>
      <c r="D24" s="19" t="s">
        <v>289</v>
      </c>
      <c r="E24" s="3">
        <f>14*40</f>
        <v>560</v>
      </c>
      <c r="F24" s="3">
        <f t="shared" si="57"/>
        <v>112</v>
      </c>
      <c r="G24" s="3">
        <f t="shared" si="58"/>
        <v>672</v>
      </c>
      <c r="H24" s="4" t="s">
        <v>15</v>
      </c>
      <c r="Q24">
        <f t="shared" si="59"/>
        <v>2022</v>
      </c>
      <c r="R24">
        <f t="shared" si="60"/>
        <v>12</v>
      </c>
    </row>
    <row r="25">
      <c r="A25" s="20">
        <v>44917</v>
      </c>
      <c r="B25" s="15" t="s">
        <v>276</v>
      </c>
      <c r="C25" s="15" t="s">
        <v>13</v>
      </c>
      <c r="D25" s="19" t="s">
        <v>290</v>
      </c>
      <c r="E25" s="3">
        <f>72*3.5+24*7</f>
        <v>420</v>
      </c>
      <c r="F25" s="3">
        <f t="shared" si="57"/>
        <v>84</v>
      </c>
      <c r="G25" s="3">
        <f t="shared" si="58"/>
        <v>504</v>
      </c>
      <c r="H25" s="4" t="s">
        <v>15</v>
      </c>
      <c r="Q25">
        <f t="shared" si="59"/>
        <v>2022</v>
      </c>
      <c r="R25">
        <f t="shared" si="60"/>
        <v>12</v>
      </c>
    </row>
    <row r="26">
      <c r="A26" s="20">
        <v>44917</v>
      </c>
      <c r="B26" s="15" t="s">
        <v>107</v>
      </c>
      <c r="C26" s="15" t="s">
        <v>13</v>
      </c>
      <c r="D26" s="19" t="s">
        <v>291</v>
      </c>
      <c r="E26" s="3">
        <f>450*14</f>
        <v>6300</v>
      </c>
      <c r="F26" s="3">
        <f t="shared" si="57"/>
        <v>1260</v>
      </c>
      <c r="G26" s="3">
        <f t="shared" si="58"/>
        <v>7560</v>
      </c>
      <c r="H26" s="4" t="s">
        <v>15</v>
      </c>
      <c r="Q26">
        <f t="shared" si="59"/>
        <v>2022</v>
      </c>
      <c r="R26">
        <f t="shared" si="60"/>
        <v>12</v>
      </c>
    </row>
    <row r="27">
      <c r="A27" s="20">
        <v>44919</v>
      </c>
      <c r="B27" s="15" t="s">
        <v>12</v>
      </c>
      <c r="C27" s="15" t="s">
        <v>17</v>
      </c>
      <c r="D27" s="19" t="s">
        <v>292</v>
      </c>
      <c r="E27" s="3">
        <v>250</v>
      </c>
      <c r="F27" s="3">
        <f t="shared" si="57"/>
        <v>50</v>
      </c>
      <c r="G27" s="3">
        <f t="shared" si="58"/>
        <v>300</v>
      </c>
      <c r="H27" s="4" t="s">
        <v>15</v>
      </c>
      <c r="Q27">
        <f t="shared" si="59"/>
        <v>2022</v>
      </c>
      <c r="R27">
        <f t="shared" si="60"/>
        <v>12</v>
      </c>
    </row>
    <row r="28">
      <c r="A28" s="20">
        <v>44927</v>
      </c>
      <c r="B28" s="15" t="s">
        <v>12</v>
      </c>
      <c r="C28" s="15" t="s">
        <v>17</v>
      </c>
      <c r="D28" s="19" t="s">
        <v>293</v>
      </c>
      <c r="E28" s="3">
        <v>375</v>
      </c>
      <c r="F28" s="3">
        <f t="shared" si="57"/>
        <v>75</v>
      </c>
      <c r="G28" s="3">
        <f t="shared" si="58"/>
        <v>450</v>
      </c>
      <c r="H28" s="4" t="s">
        <v>15</v>
      </c>
      <c r="Q28">
        <f t="shared" si="59"/>
        <v>2023</v>
      </c>
      <c r="R28">
        <f t="shared" si="60"/>
        <v>1</v>
      </c>
    </row>
    <row r="29">
      <c r="A29" s="20">
        <v>44935</v>
      </c>
      <c r="B29" s="15" t="s">
        <v>12</v>
      </c>
      <c r="C29" s="15" t="s">
        <v>17</v>
      </c>
      <c r="D29" s="19" t="s">
        <v>294</v>
      </c>
      <c r="E29" s="3">
        <v>375</v>
      </c>
      <c r="F29" s="3">
        <f t="shared" si="57"/>
        <v>75</v>
      </c>
      <c r="G29" s="3">
        <f t="shared" si="58"/>
        <v>450</v>
      </c>
      <c r="H29" s="4" t="s">
        <v>15</v>
      </c>
      <c r="Q29">
        <f t="shared" si="59"/>
        <v>2023</v>
      </c>
      <c r="R29">
        <f t="shared" si="60"/>
        <v>1</v>
      </c>
    </row>
    <row r="30">
      <c r="A30" s="20">
        <v>44932</v>
      </c>
      <c r="B30" s="15" t="s">
        <v>12</v>
      </c>
      <c r="C30" s="15" t="s">
        <v>17</v>
      </c>
      <c r="D30" s="19" t="s">
        <v>295</v>
      </c>
      <c r="E30" s="3">
        <v>605</v>
      </c>
      <c r="F30" s="3">
        <f t="shared" si="57"/>
        <v>121</v>
      </c>
      <c r="G30" s="3">
        <f t="shared" si="58"/>
        <v>726</v>
      </c>
      <c r="H30" s="4" t="s">
        <v>15</v>
      </c>
      <c r="Q30">
        <f t="shared" si="59"/>
        <v>2023</v>
      </c>
      <c r="R30">
        <f t="shared" si="60"/>
        <v>1</v>
      </c>
    </row>
    <row r="31">
      <c r="A31" s="20">
        <v>44946</v>
      </c>
      <c r="B31" s="1" t="s">
        <v>19</v>
      </c>
      <c r="C31" s="15" t="s">
        <v>13</v>
      </c>
      <c r="D31" s="19" t="s">
        <v>296</v>
      </c>
      <c r="E31" s="3">
        <f>450*3</f>
        <v>1350</v>
      </c>
      <c r="F31" s="3">
        <v>0</v>
      </c>
      <c r="G31" s="3">
        <f t="shared" si="58"/>
        <v>1350</v>
      </c>
      <c r="H31" s="4" t="s">
        <v>15</v>
      </c>
      <c r="Q31">
        <f t="shared" si="59"/>
        <v>2023</v>
      </c>
      <c r="R31">
        <f t="shared" si="60"/>
        <v>1</v>
      </c>
    </row>
    <row r="32">
      <c r="A32" s="20">
        <v>44956</v>
      </c>
      <c r="B32" s="15" t="s">
        <v>276</v>
      </c>
      <c r="C32" s="15" t="s">
        <v>13</v>
      </c>
      <c r="D32" s="2" t="s">
        <v>297</v>
      </c>
      <c r="E32" s="3">
        <v>1620</v>
      </c>
      <c r="F32" s="3">
        <f t="shared" si="57"/>
        <v>324</v>
      </c>
      <c r="G32" s="3">
        <f t="shared" si="58"/>
        <v>1944</v>
      </c>
      <c r="H32" s="4" t="s">
        <v>15</v>
      </c>
      <c r="Q32">
        <f t="shared" si="59"/>
        <v>2023</v>
      </c>
      <c r="R32">
        <f t="shared" si="60"/>
        <v>1</v>
      </c>
    </row>
    <row r="33">
      <c r="A33" s="20">
        <v>44956</v>
      </c>
      <c r="B33" s="15" t="s">
        <v>107</v>
      </c>
      <c r="C33" s="15" t="s">
        <v>13</v>
      </c>
      <c r="D33" s="2" t="s">
        <v>298</v>
      </c>
      <c r="E33" s="3">
        <f>450*12</f>
        <v>5400</v>
      </c>
      <c r="F33" s="3">
        <f t="shared" si="57"/>
        <v>1080</v>
      </c>
      <c r="G33" s="3">
        <f t="shared" si="58"/>
        <v>6480</v>
      </c>
      <c r="H33" s="139" t="s">
        <v>15</v>
      </c>
      <c r="Q33">
        <f t="shared" si="59"/>
        <v>2023</v>
      </c>
      <c r="R33">
        <f t="shared" si="60"/>
        <v>1</v>
      </c>
    </row>
    <row r="34">
      <c r="A34" s="20">
        <v>44956</v>
      </c>
      <c r="B34" s="15" t="s">
        <v>12</v>
      </c>
      <c r="C34" s="15" t="s">
        <v>17</v>
      </c>
      <c r="D34" s="2" t="s">
        <v>299</v>
      </c>
      <c r="E34" s="3">
        <v>750</v>
      </c>
      <c r="F34" s="3">
        <f t="shared" si="57"/>
        <v>150</v>
      </c>
      <c r="G34" s="3">
        <f t="shared" si="58"/>
        <v>900</v>
      </c>
      <c r="H34" s="4" t="s">
        <v>15</v>
      </c>
      <c r="Q34">
        <f t="shared" si="59"/>
        <v>2023</v>
      </c>
      <c r="R34">
        <f t="shared" si="60"/>
        <v>1</v>
      </c>
    </row>
    <row r="35">
      <c r="A35" s="20">
        <v>44957</v>
      </c>
      <c r="B35" s="1" t="s">
        <v>19</v>
      </c>
      <c r="C35" s="15" t="s">
        <v>17</v>
      </c>
      <c r="D35" s="2" t="s">
        <v>300</v>
      </c>
      <c r="E35" s="3">
        <f>9*450</f>
        <v>4050</v>
      </c>
      <c r="F35" s="3">
        <v>0</v>
      </c>
      <c r="G35" s="3">
        <f t="shared" si="58"/>
        <v>4050</v>
      </c>
      <c r="H35" s="139" t="s">
        <v>15</v>
      </c>
      <c r="Q35">
        <f t="shared" si="59"/>
        <v>2023</v>
      </c>
      <c r="R35">
        <f t="shared" si="60"/>
        <v>1</v>
      </c>
    </row>
    <row r="36">
      <c r="A36" s="20">
        <v>44960</v>
      </c>
      <c r="B36" s="15" t="s">
        <v>12</v>
      </c>
      <c r="C36" s="15" t="s">
        <v>13</v>
      </c>
      <c r="D36" s="19" t="s">
        <v>301</v>
      </c>
      <c r="E36" s="3">
        <v>700</v>
      </c>
      <c r="F36" s="3">
        <f t="shared" si="57"/>
        <v>140</v>
      </c>
      <c r="G36" s="3">
        <f t="shared" si="58"/>
        <v>840</v>
      </c>
      <c r="H36" s="139" t="s">
        <v>15</v>
      </c>
      <c r="Q36">
        <f t="shared" si="59"/>
        <v>2023</v>
      </c>
      <c r="R36">
        <f t="shared" si="60"/>
        <v>2</v>
      </c>
    </row>
    <row r="37">
      <c r="A37" s="20">
        <v>44962</v>
      </c>
      <c r="B37" s="15" t="s">
        <v>12</v>
      </c>
      <c r="C37" s="15" t="s">
        <v>17</v>
      </c>
      <c r="D37" s="19" t="s">
        <v>302</v>
      </c>
      <c r="E37" s="3">
        <v>1390</v>
      </c>
      <c r="F37" s="3">
        <f t="shared" si="57"/>
        <v>278</v>
      </c>
      <c r="G37" s="3">
        <f t="shared" si="58"/>
        <v>1668</v>
      </c>
      <c r="H37" s="4" t="s">
        <v>15</v>
      </c>
      <c r="Q37">
        <f t="shared" si="59"/>
        <v>2023</v>
      </c>
      <c r="R37">
        <f t="shared" si="60"/>
        <v>2</v>
      </c>
    </row>
    <row r="38">
      <c r="A38" s="20">
        <v>44980</v>
      </c>
      <c r="B38" s="15" t="s">
        <v>12</v>
      </c>
      <c r="C38" s="15" t="s">
        <v>17</v>
      </c>
      <c r="D38" s="19" t="s">
        <v>303</v>
      </c>
      <c r="E38" s="3">
        <v>390</v>
      </c>
      <c r="F38" s="3">
        <f t="shared" si="57"/>
        <v>78</v>
      </c>
      <c r="G38" s="3">
        <f t="shared" si="58"/>
        <v>468</v>
      </c>
      <c r="H38" s="139" t="s">
        <v>15</v>
      </c>
      <c r="Q38">
        <f t="shared" si="59"/>
        <v>2023</v>
      </c>
      <c r="R38">
        <f t="shared" si="60"/>
        <v>2</v>
      </c>
    </row>
    <row r="39">
      <c r="A39" s="20">
        <v>44980</v>
      </c>
      <c r="B39" s="15" t="s">
        <v>276</v>
      </c>
      <c r="C39" s="15" t="s">
        <v>13</v>
      </c>
      <c r="D39" s="2" t="s">
        <v>304</v>
      </c>
      <c r="E39" s="3">
        <f>7*72</f>
        <v>504</v>
      </c>
      <c r="F39" s="3">
        <f t="shared" si="57"/>
        <v>100.80000000000001</v>
      </c>
      <c r="G39" s="3">
        <f t="shared" si="58"/>
        <v>604.79999999999995</v>
      </c>
      <c r="H39" s="139" t="s">
        <v>15</v>
      </c>
      <c r="Q39">
        <f t="shared" si="59"/>
        <v>2023</v>
      </c>
      <c r="R39">
        <f t="shared" si="60"/>
        <v>2</v>
      </c>
    </row>
    <row r="40">
      <c r="A40" s="20">
        <v>44980</v>
      </c>
      <c r="B40" s="15" t="s">
        <v>107</v>
      </c>
      <c r="C40" s="15" t="s">
        <v>13</v>
      </c>
      <c r="D40" s="2" t="s">
        <v>305</v>
      </c>
      <c r="E40" s="3">
        <f>450*13</f>
        <v>5850</v>
      </c>
      <c r="F40" s="3">
        <f t="shared" si="57"/>
        <v>1170</v>
      </c>
      <c r="G40" s="3">
        <f t="shared" si="58"/>
        <v>7020</v>
      </c>
      <c r="H40" s="4" t="s">
        <v>15</v>
      </c>
      <c r="Q40">
        <f t="shared" si="59"/>
        <v>2023</v>
      </c>
      <c r="R40">
        <f t="shared" si="60"/>
        <v>2</v>
      </c>
    </row>
    <row r="41">
      <c r="A41" s="20">
        <v>44984</v>
      </c>
      <c r="B41" s="15" t="s">
        <v>12</v>
      </c>
      <c r="C41" s="15" t="s">
        <v>17</v>
      </c>
      <c r="D41" s="2" t="s">
        <v>306</v>
      </c>
      <c r="E41" s="3">
        <v>350</v>
      </c>
      <c r="F41" s="3">
        <f t="shared" si="57"/>
        <v>70</v>
      </c>
      <c r="G41" s="3">
        <f t="shared" si="58"/>
        <v>420</v>
      </c>
      <c r="H41" s="139" t="s">
        <v>15</v>
      </c>
      <c r="Q41">
        <f t="shared" si="59"/>
        <v>2023</v>
      </c>
      <c r="R41">
        <f t="shared" si="60"/>
        <v>2</v>
      </c>
    </row>
    <row r="42">
      <c r="A42" s="20">
        <v>44985</v>
      </c>
      <c r="B42" s="15" t="s">
        <v>19</v>
      </c>
      <c r="C42" s="15" t="s">
        <v>17</v>
      </c>
      <c r="D42" s="2" t="s">
        <v>307</v>
      </c>
      <c r="E42" s="3">
        <f>4.5*450</f>
        <v>2025</v>
      </c>
      <c r="F42" s="3">
        <v>0</v>
      </c>
      <c r="G42" s="3">
        <f t="shared" si="58"/>
        <v>2025</v>
      </c>
      <c r="H42" s="139" t="s">
        <v>15</v>
      </c>
      <c r="Q42">
        <f t="shared" si="59"/>
        <v>2023</v>
      </c>
      <c r="R42">
        <f t="shared" si="60"/>
        <v>2</v>
      </c>
    </row>
    <row r="43">
      <c r="A43" s="20">
        <v>44987</v>
      </c>
      <c r="B43" s="15" t="s">
        <v>12</v>
      </c>
      <c r="C43" s="15" t="s">
        <v>17</v>
      </c>
      <c r="D43" s="2" t="s">
        <v>308</v>
      </c>
      <c r="E43" s="3">
        <v>150</v>
      </c>
      <c r="F43" s="3">
        <f t="shared" si="57"/>
        <v>30</v>
      </c>
      <c r="G43" s="3">
        <f t="shared" si="58"/>
        <v>180</v>
      </c>
      <c r="H43" s="139" t="s">
        <v>15</v>
      </c>
      <c r="Q43">
        <f t="shared" si="59"/>
        <v>2023</v>
      </c>
      <c r="R43">
        <f t="shared" si="60"/>
        <v>3</v>
      </c>
    </row>
    <row r="44">
      <c r="A44" s="20">
        <v>44990</v>
      </c>
      <c r="B44" s="15" t="s">
        <v>107</v>
      </c>
      <c r="C44" s="15" t="s">
        <v>13</v>
      </c>
      <c r="D44" s="19" t="s">
        <v>309</v>
      </c>
      <c r="E44" s="3">
        <f>450*3</f>
        <v>1350</v>
      </c>
      <c r="F44" s="3">
        <f t="shared" si="57"/>
        <v>270</v>
      </c>
      <c r="G44" s="3">
        <f t="shared" si="58"/>
        <v>1620</v>
      </c>
      <c r="H44" s="138" t="s">
        <v>15</v>
      </c>
      <c r="Q44">
        <f t="shared" si="59"/>
        <v>2023</v>
      </c>
      <c r="R44">
        <f t="shared" si="60"/>
        <v>3</v>
      </c>
    </row>
    <row r="45">
      <c r="A45" s="20">
        <v>44991</v>
      </c>
      <c r="B45" s="15" t="s">
        <v>12</v>
      </c>
      <c r="C45" s="15" t="s">
        <v>17</v>
      </c>
      <c r="D45" s="19" t="s">
        <v>310</v>
      </c>
      <c r="E45" s="3">
        <v>1032.5</v>
      </c>
      <c r="F45" s="3">
        <f t="shared" si="57"/>
        <v>206.5</v>
      </c>
      <c r="G45" s="3">
        <f t="shared" si="58"/>
        <v>1239</v>
      </c>
      <c r="H45" s="139" t="s">
        <v>15</v>
      </c>
      <c r="Q45">
        <f t="shared" si="59"/>
        <v>2023</v>
      </c>
      <c r="R45">
        <f t="shared" si="60"/>
        <v>3</v>
      </c>
    </row>
    <row r="46">
      <c r="A46" s="20">
        <v>44991</v>
      </c>
      <c r="B46" s="15" t="s">
        <v>12</v>
      </c>
      <c r="C46" s="15" t="s">
        <v>13</v>
      </c>
      <c r="D46" s="19" t="s">
        <v>311</v>
      </c>
      <c r="E46" s="3">
        <v>830</v>
      </c>
      <c r="F46" s="3">
        <f t="shared" si="57"/>
        <v>166</v>
      </c>
      <c r="G46" s="3">
        <f t="shared" si="58"/>
        <v>996</v>
      </c>
      <c r="H46" s="139" t="s">
        <v>15</v>
      </c>
      <c r="Q46">
        <f t="shared" si="59"/>
        <v>2023</v>
      </c>
      <c r="R46">
        <f t="shared" si="60"/>
        <v>3</v>
      </c>
    </row>
    <row r="47">
      <c r="A47" s="20">
        <v>44992</v>
      </c>
      <c r="B47" s="15" t="s">
        <v>45</v>
      </c>
      <c r="C47" s="15" t="s">
        <v>17</v>
      </c>
      <c r="D47" s="19" t="s">
        <v>312</v>
      </c>
      <c r="E47" s="3">
        <v>750</v>
      </c>
      <c r="F47" s="3">
        <v>0</v>
      </c>
      <c r="G47" s="3">
        <f t="shared" si="58"/>
        <v>750</v>
      </c>
      <c r="H47" s="138" t="s">
        <v>15</v>
      </c>
      <c r="Q47">
        <f t="shared" si="59"/>
        <v>2023</v>
      </c>
      <c r="R47">
        <f t="shared" si="60"/>
        <v>3</v>
      </c>
    </row>
    <row r="48">
      <c r="A48" s="20">
        <v>44992</v>
      </c>
      <c r="B48" s="15" t="s">
        <v>12</v>
      </c>
      <c r="C48" s="15" t="s">
        <v>17</v>
      </c>
      <c r="D48" s="19" t="s">
        <v>313</v>
      </c>
      <c r="E48" s="3">
        <v>405</v>
      </c>
      <c r="F48" s="3">
        <f t="shared" si="57"/>
        <v>81</v>
      </c>
      <c r="G48" s="3">
        <f t="shared" si="58"/>
        <v>486</v>
      </c>
      <c r="H48" s="139" t="s">
        <v>15</v>
      </c>
      <c r="Q48">
        <f t="shared" si="59"/>
        <v>2023</v>
      </c>
      <c r="R48">
        <f t="shared" si="60"/>
        <v>3</v>
      </c>
    </row>
    <row r="49">
      <c r="A49" s="20">
        <v>45002</v>
      </c>
      <c r="B49" s="15" t="s">
        <v>276</v>
      </c>
      <c r="C49" s="15" t="s">
        <v>13</v>
      </c>
      <c r="D49" s="2" t="s">
        <v>314</v>
      </c>
      <c r="E49" s="3">
        <f>3.5*3*72</f>
        <v>756</v>
      </c>
      <c r="F49" s="3">
        <f t="shared" si="57"/>
        <v>151.20000000000002</v>
      </c>
      <c r="G49" s="3">
        <f t="shared" si="58"/>
        <v>907.20000000000005</v>
      </c>
      <c r="H49" s="138" t="s">
        <v>15</v>
      </c>
      <c r="Q49">
        <f t="shared" si="59"/>
        <v>2023</v>
      </c>
      <c r="R49">
        <f t="shared" si="60"/>
        <v>3</v>
      </c>
    </row>
    <row r="50">
      <c r="A50" s="20">
        <v>45007</v>
      </c>
      <c r="B50" s="15" t="s">
        <v>19</v>
      </c>
      <c r="C50" s="15" t="s">
        <v>17</v>
      </c>
      <c r="D50" s="2" t="s">
        <v>315</v>
      </c>
      <c r="E50" s="3">
        <v>2200</v>
      </c>
      <c r="F50" s="3">
        <v>0</v>
      </c>
      <c r="G50" s="3">
        <f t="shared" si="58"/>
        <v>2200</v>
      </c>
      <c r="H50" s="137" t="s">
        <v>15</v>
      </c>
      <c r="Q50">
        <f t="shared" si="59"/>
        <v>2023</v>
      </c>
      <c r="R50">
        <f t="shared" si="60"/>
        <v>3</v>
      </c>
    </row>
    <row r="51">
      <c r="A51" s="20">
        <v>45007</v>
      </c>
      <c r="B51" s="15" t="s">
        <v>19</v>
      </c>
      <c r="C51" s="15" t="s">
        <v>13</v>
      </c>
      <c r="D51" s="2" t="s">
        <v>316</v>
      </c>
      <c r="E51" s="3">
        <v>450</v>
      </c>
      <c r="F51" s="3">
        <v>0</v>
      </c>
      <c r="G51" s="3">
        <f t="shared" si="58"/>
        <v>450</v>
      </c>
      <c r="H51" s="4" t="s">
        <v>15</v>
      </c>
      <c r="Q51">
        <f t="shared" si="59"/>
        <v>2023</v>
      </c>
      <c r="R51">
        <f t="shared" si="60"/>
        <v>3</v>
      </c>
    </row>
    <row r="52">
      <c r="A52" s="20">
        <v>45012</v>
      </c>
      <c r="B52" s="15" t="s">
        <v>12</v>
      </c>
      <c r="C52" s="15" t="s">
        <v>17</v>
      </c>
      <c r="D52" s="19" t="s">
        <v>317</v>
      </c>
      <c r="E52" s="3">
        <v>250</v>
      </c>
      <c r="F52" s="3">
        <f t="shared" si="57"/>
        <v>50</v>
      </c>
      <c r="G52" s="3">
        <f t="shared" si="58"/>
        <v>300</v>
      </c>
      <c r="H52" s="4" t="s">
        <v>15</v>
      </c>
      <c r="Q52">
        <f t="shared" si="59"/>
        <v>2023</v>
      </c>
      <c r="R52">
        <f t="shared" si="60"/>
        <v>3</v>
      </c>
    </row>
    <row r="53">
      <c r="A53" s="20">
        <v>45014</v>
      </c>
      <c r="B53" s="15" t="s">
        <v>12</v>
      </c>
      <c r="C53" s="15" t="s">
        <v>17</v>
      </c>
      <c r="D53" s="19" t="s">
        <v>318</v>
      </c>
      <c r="E53" s="3">
        <v>300</v>
      </c>
      <c r="F53" s="3">
        <f t="shared" si="57"/>
        <v>60</v>
      </c>
      <c r="G53" s="3">
        <f t="shared" si="58"/>
        <v>360</v>
      </c>
      <c r="H53" s="4" t="s">
        <v>15</v>
      </c>
      <c r="Q53">
        <f t="shared" si="59"/>
        <v>2023</v>
      </c>
      <c r="R53">
        <f t="shared" si="60"/>
        <v>3</v>
      </c>
    </row>
    <row r="54">
      <c r="A54" s="20">
        <v>45014</v>
      </c>
      <c r="B54" s="15" t="s">
        <v>12</v>
      </c>
      <c r="C54" s="15" t="s">
        <v>17</v>
      </c>
      <c r="D54" s="19" t="s">
        <v>319</v>
      </c>
      <c r="E54" s="3">
        <v>375</v>
      </c>
      <c r="F54" s="3">
        <f t="shared" si="57"/>
        <v>75</v>
      </c>
      <c r="G54" s="3">
        <f t="shared" si="58"/>
        <v>450</v>
      </c>
      <c r="H54" s="4" t="s">
        <v>15</v>
      </c>
      <c r="Q54">
        <f t="shared" si="59"/>
        <v>2023</v>
      </c>
      <c r="R54">
        <f t="shared" si="60"/>
        <v>3</v>
      </c>
    </row>
    <row r="55">
      <c r="A55" s="20">
        <v>45014</v>
      </c>
      <c r="B55" s="15" t="s">
        <v>19</v>
      </c>
      <c r="C55" s="15" t="s">
        <v>17</v>
      </c>
      <c r="D55" s="19" t="s">
        <v>320</v>
      </c>
      <c r="E55" s="3">
        <f>6*450</f>
        <v>2700</v>
      </c>
      <c r="F55" s="3">
        <v>0</v>
      </c>
      <c r="G55" s="3">
        <f t="shared" si="58"/>
        <v>2700</v>
      </c>
      <c r="H55" s="4" t="s">
        <v>15</v>
      </c>
      <c r="Q55">
        <f t="shared" si="59"/>
        <v>2023</v>
      </c>
      <c r="R55">
        <f t="shared" si="60"/>
        <v>3</v>
      </c>
    </row>
    <row r="56">
      <c r="A56" s="20">
        <v>45016</v>
      </c>
      <c r="B56" s="15" t="s">
        <v>151</v>
      </c>
      <c r="C56" s="15" t="s">
        <v>13</v>
      </c>
      <c r="D56" s="2" t="s">
        <v>321</v>
      </c>
      <c r="E56" s="3">
        <f>427.5*15.5</f>
        <v>6626.25</v>
      </c>
      <c r="F56" s="3">
        <f t="shared" si="57"/>
        <v>1325.25</v>
      </c>
      <c r="G56" s="3">
        <f t="shared" si="58"/>
        <v>7951.5</v>
      </c>
      <c r="H56" s="139" t="s">
        <v>15</v>
      </c>
      <c r="Q56">
        <f t="shared" si="59"/>
        <v>2023</v>
      </c>
      <c r="R56">
        <f t="shared" si="60"/>
        <v>3</v>
      </c>
    </row>
    <row r="57">
      <c r="A57" s="20">
        <v>45016</v>
      </c>
      <c r="B57" s="15" t="s">
        <v>45</v>
      </c>
      <c r="C57" s="15" t="s">
        <v>17</v>
      </c>
      <c r="D57" s="2" t="s">
        <v>322</v>
      </c>
      <c r="E57" s="3">
        <f>2*750</f>
        <v>1500</v>
      </c>
      <c r="F57" s="3">
        <v>0</v>
      </c>
      <c r="G57" s="3">
        <f t="shared" si="58"/>
        <v>1500</v>
      </c>
      <c r="H57" s="138" t="s">
        <v>15</v>
      </c>
      <c r="Q57">
        <f t="shared" si="59"/>
        <v>2023</v>
      </c>
      <c r="R57">
        <f t="shared" si="60"/>
        <v>3</v>
      </c>
    </row>
    <row r="58">
      <c r="A58" s="20">
        <v>45021</v>
      </c>
      <c r="B58" s="15" t="s">
        <v>12</v>
      </c>
      <c r="C58" s="15" t="s">
        <v>13</v>
      </c>
      <c r="D58" s="19" t="s">
        <v>323</v>
      </c>
      <c r="E58" s="3">
        <f>22*40</f>
        <v>880</v>
      </c>
      <c r="F58" s="3">
        <f t="shared" si="57"/>
        <v>176</v>
      </c>
      <c r="G58" s="3">
        <f t="shared" si="58"/>
        <v>1056</v>
      </c>
      <c r="H58" s="138" t="s">
        <v>15</v>
      </c>
      <c r="Q58">
        <f t="shared" si="59"/>
        <v>2023</v>
      </c>
      <c r="R58">
        <f t="shared" si="60"/>
        <v>4</v>
      </c>
    </row>
    <row r="59">
      <c r="A59" s="20">
        <v>45021</v>
      </c>
      <c r="B59" s="15" t="s">
        <v>12</v>
      </c>
      <c r="C59" s="15" t="s">
        <v>17</v>
      </c>
      <c r="D59" s="19" t="s">
        <v>324</v>
      </c>
      <c r="E59" s="3">
        <v>725</v>
      </c>
      <c r="F59" s="3">
        <f t="shared" si="57"/>
        <v>145</v>
      </c>
      <c r="G59" s="3">
        <f t="shared" si="58"/>
        <v>870</v>
      </c>
      <c r="H59" s="138" t="s">
        <v>15</v>
      </c>
      <c r="Q59">
        <f t="shared" si="59"/>
        <v>2023</v>
      </c>
      <c r="R59">
        <f t="shared" si="60"/>
        <v>4</v>
      </c>
    </row>
    <row r="60">
      <c r="A60" s="20">
        <v>45040</v>
      </c>
      <c r="B60" s="15" t="s">
        <v>19</v>
      </c>
      <c r="C60" s="15" t="s">
        <v>17</v>
      </c>
      <c r="D60" s="19" t="s">
        <v>325</v>
      </c>
      <c r="E60" s="3">
        <v>5880</v>
      </c>
      <c r="F60" s="3">
        <v>176</v>
      </c>
      <c r="G60" s="3">
        <v>6056</v>
      </c>
      <c r="H60" s="138" t="s">
        <v>15</v>
      </c>
      <c r="Q60">
        <f t="shared" si="59"/>
        <v>2023</v>
      </c>
      <c r="R60">
        <f t="shared" si="60"/>
        <v>4</v>
      </c>
    </row>
    <row r="61">
      <c r="A61" s="20">
        <v>45041</v>
      </c>
      <c r="B61" s="15" t="s">
        <v>12</v>
      </c>
      <c r="C61" s="15" t="s">
        <v>17</v>
      </c>
      <c r="D61" s="19" t="s">
        <v>326</v>
      </c>
      <c r="E61" s="3">
        <v>825</v>
      </c>
      <c r="F61" s="3">
        <f t="shared" si="57"/>
        <v>165</v>
      </c>
      <c r="G61" s="3">
        <f t="shared" si="58"/>
        <v>990</v>
      </c>
      <c r="H61" s="138" t="s">
        <v>15</v>
      </c>
      <c r="J61" s="61"/>
      <c r="Q61">
        <f t="shared" si="59"/>
        <v>2023</v>
      </c>
      <c r="R61">
        <f t="shared" si="60"/>
        <v>4</v>
      </c>
    </row>
    <row r="62">
      <c r="A62" s="20">
        <v>45041</v>
      </c>
      <c r="B62" s="15" t="s">
        <v>12</v>
      </c>
      <c r="C62" s="15" t="s">
        <v>17</v>
      </c>
      <c r="D62" s="19" t="s">
        <v>327</v>
      </c>
      <c r="E62" s="3">
        <v>180</v>
      </c>
      <c r="F62" s="3">
        <f t="shared" si="57"/>
        <v>36</v>
      </c>
      <c r="G62" s="3">
        <f t="shared" si="58"/>
        <v>216</v>
      </c>
      <c r="H62" s="138" t="s">
        <v>15</v>
      </c>
      <c r="Q62">
        <f t="shared" si="59"/>
        <v>2023</v>
      </c>
      <c r="R62">
        <f t="shared" si="60"/>
        <v>4</v>
      </c>
    </row>
    <row r="63">
      <c r="A63" s="20">
        <v>45042</v>
      </c>
      <c r="B63" s="15" t="s">
        <v>276</v>
      </c>
      <c r="C63" s="15" t="s">
        <v>13</v>
      </c>
      <c r="D63" s="2" t="s">
        <v>328</v>
      </c>
      <c r="E63" s="3">
        <v>420</v>
      </c>
      <c r="F63" s="3">
        <f t="shared" si="57"/>
        <v>84</v>
      </c>
      <c r="G63" s="3">
        <f t="shared" si="58"/>
        <v>504</v>
      </c>
      <c r="H63" s="138" t="s">
        <v>15</v>
      </c>
      <c r="Q63">
        <f t="shared" si="59"/>
        <v>2023</v>
      </c>
      <c r="R63">
        <f t="shared" si="60"/>
        <v>4</v>
      </c>
    </row>
    <row r="64">
      <c r="A64" s="20">
        <v>45046</v>
      </c>
      <c r="B64" s="1" t="s">
        <v>151</v>
      </c>
      <c r="C64" s="15" t="s">
        <v>13</v>
      </c>
      <c r="D64" s="2" t="s">
        <v>329</v>
      </c>
      <c r="E64" s="3">
        <f>15*427.5</f>
        <v>6412.5</v>
      </c>
      <c r="F64" s="3">
        <f t="shared" si="57"/>
        <v>1282.5</v>
      </c>
      <c r="G64" s="3">
        <f t="shared" si="58"/>
        <v>7695</v>
      </c>
      <c r="H64" s="4" t="s">
        <v>15</v>
      </c>
      <c r="Q64">
        <f t="shared" si="59"/>
        <v>2023</v>
      </c>
      <c r="R64">
        <f t="shared" si="60"/>
        <v>4</v>
      </c>
    </row>
    <row r="65">
      <c r="A65" s="20">
        <v>45046</v>
      </c>
      <c r="B65" s="1" t="s">
        <v>151</v>
      </c>
      <c r="C65" s="15" t="s">
        <v>17</v>
      </c>
      <c r="D65" s="19" t="s">
        <v>330</v>
      </c>
      <c r="E65" s="3">
        <v>495</v>
      </c>
      <c r="F65" s="3">
        <f t="shared" si="57"/>
        <v>99</v>
      </c>
      <c r="G65" s="3">
        <f t="shared" si="58"/>
        <v>594</v>
      </c>
      <c r="H65" s="138" t="s">
        <v>15</v>
      </c>
      <c r="Q65">
        <f t="shared" si="59"/>
        <v>2023</v>
      </c>
      <c r="R65">
        <f t="shared" si="60"/>
        <v>4</v>
      </c>
    </row>
    <row r="66">
      <c r="A66" s="20">
        <v>45044</v>
      </c>
      <c r="B66" s="15" t="s">
        <v>19</v>
      </c>
      <c r="C66" s="15" t="s">
        <v>17</v>
      </c>
      <c r="D66" s="19" t="s">
        <v>331</v>
      </c>
      <c r="E66" s="3">
        <f>450*5.5</f>
        <v>2475</v>
      </c>
      <c r="F66" s="3">
        <v>0</v>
      </c>
      <c r="G66" s="3">
        <f t="shared" si="58"/>
        <v>2475</v>
      </c>
      <c r="H66" s="138" t="s">
        <v>15</v>
      </c>
      <c r="Q66">
        <f t="shared" si="59"/>
        <v>2023</v>
      </c>
      <c r="R66">
        <f t="shared" si="60"/>
        <v>4</v>
      </c>
    </row>
    <row r="67">
      <c r="A67" s="20">
        <v>45049</v>
      </c>
      <c r="B67" s="15" t="s">
        <v>12</v>
      </c>
      <c r="C67" s="15" t="s">
        <v>13</v>
      </c>
      <c r="D67" s="19" t="s">
        <v>332</v>
      </c>
      <c r="E67" s="3">
        <f t="shared" ref="E67:E68" si="61">15*40</f>
        <v>600</v>
      </c>
      <c r="F67" s="3">
        <f t="shared" si="57"/>
        <v>120</v>
      </c>
      <c r="G67" s="3">
        <f t="shared" si="58"/>
        <v>720</v>
      </c>
      <c r="H67" s="4" t="s">
        <v>15</v>
      </c>
      <c r="Q67">
        <f t="shared" si="59"/>
        <v>2023</v>
      </c>
      <c r="R67">
        <f t="shared" si="60"/>
        <v>5</v>
      </c>
    </row>
    <row r="68">
      <c r="A68" s="20">
        <v>45051</v>
      </c>
      <c r="B68" s="15" t="s">
        <v>12</v>
      </c>
      <c r="C68" s="15" t="s">
        <v>13</v>
      </c>
      <c r="D68" s="2" t="s">
        <v>332</v>
      </c>
      <c r="E68" s="3">
        <f t="shared" si="61"/>
        <v>600</v>
      </c>
      <c r="F68" s="3">
        <f>0.2*E79</f>
        <v>1068.75</v>
      </c>
      <c r="G68" s="3">
        <f>F79+E79</f>
        <v>6412.5</v>
      </c>
      <c r="H68" s="4" t="s">
        <v>15</v>
      </c>
      <c r="J68" s="61"/>
      <c r="Q68">
        <f t="shared" si="59"/>
        <v>2023</v>
      </c>
      <c r="R68">
        <f t="shared" si="60"/>
        <v>5</v>
      </c>
    </row>
    <row r="69">
      <c r="A69" s="20">
        <v>45051</v>
      </c>
      <c r="B69" s="15" t="s">
        <v>12</v>
      </c>
      <c r="C69" s="15" t="s">
        <v>17</v>
      </c>
      <c r="D69" s="19" t="s">
        <v>333</v>
      </c>
      <c r="E69" s="3">
        <f>14*40</f>
        <v>560</v>
      </c>
      <c r="F69" s="3">
        <f>0.2*E69</f>
        <v>112</v>
      </c>
      <c r="G69" s="3">
        <f t="shared" ref="G69:G99" si="62">F69+E69</f>
        <v>672</v>
      </c>
      <c r="H69" s="138" t="s">
        <v>15</v>
      </c>
      <c r="Q69">
        <f t="shared" si="59"/>
        <v>2023</v>
      </c>
      <c r="R69">
        <f t="shared" si="60"/>
        <v>5</v>
      </c>
    </row>
    <row r="70">
      <c r="A70" s="20">
        <v>45057</v>
      </c>
      <c r="B70" s="15" t="s">
        <v>19</v>
      </c>
      <c r="C70" s="15" t="s">
        <v>17</v>
      </c>
      <c r="D70" s="19" t="s">
        <v>334</v>
      </c>
      <c r="E70" s="3">
        <v>1000</v>
      </c>
      <c r="F70" s="3">
        <v>0</v>
      </c>
      <c r="G70" s="3">
        <f t="shared" si="62"/>
        <v>1000</v>
      </c>
      <c r="H70" s="138" t="s">
        <v>15</v>
      </c>
      <c r="Q70">
        <f t="shared" si="59"/>
        <v>2023</v>
      </c>
      <c r="R70">
        <f t="shared" si="60"/>
        <v>5</v>
      </c>
    </row>
    <row r="71">
      <c r="A71" s="20">
        <v>45062</v>
      </c>
      <c r="B71" s="15" t="s">
        <v>19</v>
      </c>
      <c r="C71" s="15" t="s">
        <v>17</v>
      </c>
      <c r="D71" s="19" t="s">
        <v>335</v>
      </c>
      <c r="E71" s="3">
        <v>111.47</v>
      </c>
      <c r="F71" s="3">
        <v>0</v>
      </c>
      <c r="G71" s="3">
        <f t="shared" si="62"/>
        <v>111.47</v>
      </c>
      <c r="H71" s="138" t="s">
        <v>15</v>
      </c>
      <c r="Q71">
        <f t="shared" si="59"/>
        <v>2023</v>
      </c>
      <c r="R71">
        <f t="shared" si="60"/>
        <v>5</v>
      </c>
    </row>
    <row r="72">
      <c r="A72" s="20">
        <v>45068</v>
      </c>
      <c r="B72" s="15" t="s">
        <v>276</v>
      </c>
      <c r="C72" s="15" t="s">
        <v>13</v>
      </c>
      <c r="D72" s="2" t="s">
        <v>336</v>
      </c>
      <c r="E72" s="3">
        <f>3.5*3*72+24*3.5</f>
        <v>840</v>
      </c>
      <c r="F72" s="3">
        <f t="shared" ref="F72:F99" si="63">0.2*E72</f>
        <v>168</v>
      </c>
      <c r="G72" s="3">
        <f t="shared" si="62"/>
        <v>1008</v>
      </c>
      <c r="H72" s="4" t="s">
        <v>15</v>
      </c>
      <c r="Q72">
        <f t="shared" si="59"/>
        <v>2023</v>
      </c>
      <c r="R72">
        <f t="shared" si="60"/>
        <v>5</v>
      </c>
    </row>
    <row r="73">
      <c r="A73" s="20">
        <v>45068</v>
      </c>
      <c r="B73" s="15" t="s">
        <v>12</v>
      </c>
      <c r="C73" s="15" t="s">
        <v>17</v>
      </c>
      <c r="D73" s="2" t="s">
        <v>337</v>
      </c>
      <c r="E73" s="3">
        <v>750</v>
      </c>
      <c r="F73" s="3">
        <f t="shared" si="63"/>
        <v>150</v>
      </c>
      <c r="G73" s="3">
        <f t="shared" si="62"/>
        <v>900</v>
      </c>
      <c r="H73" s="4" t="s">
        <v>15</v>
      </c>
      <c r="Q73">
        <f t="shared" si="59"/>
        <v>2023</v>
      </c>
      <c r="R73">
        <f t="shared" si="60"/>
        <v>5</v>
      </c>
    </row>
    <row r="74">
      <c r="A74" s="20">
        <v>45072</v>
      </c>
      <c r="B74" s="15" t="s">
        <v>286</v>
      </c>
      <c r="C74" s="15" t="s">
        <v>17</v>
      </c>
      <c r="D74" s="2" t="s">
        <v>338</v>
      </c>
      <c r="E74" s="3">
        <v>650</v>
      </c>
      <c r="F74" s="3">
        <v>0</v>
      </c>
      <c r="G74" s="3">
        <f t="shared" si="62"/>
        <v>650</v>
      </c>
      <c r="H74" s="4" t="s">
        <v>15</v>
      </c>
      <c r="Q74">
        <f t="shared" ref="Q74:Q99" si="64">YEAR(A74)</f>
        <v>2023</v>
      </c>
      <c r="R74">
        <f t="shared" ref="R74:R99" si="65">MONTH(A74)</f>
        <v>5</v>
      </c>
    </row>
    <row r="75">
      <c r="A75" s="20">
        <v>45072</v>
      </c>
      <c r="B75" s="15" t="s">
        <v>19</v>
      </c>
      <c r="C75" s="15" t="s">
        <v>17</v>
      </c>
      <c r="D75" s="2" t="s">
        <v>339</v>
      </c>
      <c r="E75" s="3">
        <v>550</v>
      </c>
      <c r="F75" s="3">
        <v>0</v>
      </c>
      <c r="G75" s="3">
        <f t="shared" si="62"/>
        <v>550</v>
      </c>
      <c r="H75" s="4" t="s">
        <v>15</v>
      </c>
      <c r="Q75">
        <f t="shared" si="64"/>
        <v>2023</v>
      </c>
      <c r="R75">
        <f t="shared" si="65"/>
        <v>5</v>
      </c>
    </row>
    <row r="76">
      <c r="A76" s="20">
        <v>45076</v>
      </c>
      <c r="B76" s="15" t="s">
        <v>12</v>
      </c>
      <c r="C76" s="15" t="s">
        <v>17</v>
      </c>
      <c r="D76" s="2" t="s">
        <v>340</v>
      </c>
      <c r="E76" s="3">
        <v>30</v>
      </c>
      <c r="F76" s="3">
        <f t="shared" si="63"/>
        <v>6</v>
      </c>
      <c r="G76" s="3">
        <f t="shared" si="62"/>
        <v>36</v>
      </c>
      <c r="H76" s="4" t="s">
        <v>15</v>
      </c>
      <c r="Q76">
        <f t="shared" si="64"/>
        <v>2023</v>
      </c>
      <c r="R76">
        <f t="shared" si="65"/>
        <v>5</v>
      </c>
    </row>
    <row r="77">
      <c r="A77" s="20">
        <v>45077</v>
      </c>
      <c r="B77" s="15" t="s">
        <v>341</v>
      </c>
      <c r="C77" s="15" t="s">
        <v>17</v>
      </c>
      <c r="D77" s="2" t="s">
        <v>342</v>
      </c>
      <c r="E77" s="3">
        <v>3850</v>
      </c>
      <c r="F77" s="3">
        <f t="shared" si="63"/>
        <v>770</v>
      </c>
      <c r="G77" s="3">
        <f t="shared" si="62"/>
        <v>4620</v>
      </c>
      <c r="H77" s="4" t="s">
        <v>15</v>
      </c>
      <c r="Q77">
        <f t="shared" si="64"/>
        <v>2023</v>
      </c>
      <c r="R77">
        <f t="shared" si="65"/>
        <v>5</v>
      </c>
    </row>
    <row r="78">
      <c r="A78" s="20">
        <v>45077</v>
      </c>
      <c r="B78" s="15" t="s">
        <v>19</v>
      </c>
      <c r="C78" s="15" t="s">
        <v>17</v>
      </c>
      <c r="D78" s="2" t="s">
        <v>343</v>
      </c>
      <c r="E78" s="3">
        <v>2700</v>
      </c>
      <c r="F78" s="3">
        <v>0</v>
      </c>
      <c r="G78" s="3">
        <f t="shared" si="62"/>
        <v>2700</v>
      </c>
      <c r="H78" s="4" t="s">
        <v>15</v>
      </c>
      <c r="Q78">
        <f t="shared" si="64"/>
        <v>2023</v>
      </c>
      <c r="R78">
        <f t="shared" si="65"/>
        <v>5</v>
      </c>
    </row>
    <row r="79">
      <c r="A79" s="20">
        <v>45077</v>
      </c>
      <c r="B79" s="15" t="s">
        <v>151</v>
      </c>
      <c r="C79" s="15" t="s">
        <v>13</v>
      </c>
      <c r="D79" s="2" t="s">
        <v>344</v>
      </c>
      <c r="E79" s="3">
        <f>427.5*12.5</f>
        <v>5343.75</v>
      </c>
      <c r="F79" s="3">
        <f t="shared" si="63"/>
        <v>1068.75</v>
      </c>
      <c r="G79" s="3">
        <f t="shared" si="62"/>
        <v>6412.5</v>
      </c>
      <c r="H79" s="4" t="s">
        <v>15</v>
      </c>
      <c r="Q79">
        <f t="shared" si="64"/>
        <v>2023</v>
      </c>
      <c r="R79">
        <f t="shared" si="65"/>
        <v>5</v>
      </c>
    </row>
    <row r="80">
      <c r="A80" s="20">
        <v>45082</v>
      </c>
      <c r="B80" s="15" t="s">
        <v>19</v>
      </c>
      <c r="C80" s="15" t="s">
        <v>17</v>
      </c>
      <c r="D80" s="2" t="s">
        <v>345</v>
      </c>
      <c r="E80" s="3">
        <v>550</v>
      </c>
      <c r="F80" s="3">
        <v>0</v>
      </c>
      <c r="G80" s="3">
        <f t="shared" si="62"/>
        <v>550</v>
      </c>
      <c r="H80" s="4" t="s">
        <v>15</v>
      </c>
      <c r="Q80">
        <f t="shared" si="64"/>
        <v>2023</v>
      </c>
      <c r="R80">
        <f t="shared" si="65"/>
        <v>6</v>
      </c>
    </row>
    <row r="81">
      <c r="A81" s="20">
        <v>45082</v>
      </c>
      <c r="B81" s="15" t="s">
        <v>12</v>
      </c>
      <c r="C81" s="15" t="s">
        <v>13</v>
      </c>
      <c r="D81" s="2" t="s">
        <v>346</v>
      </c>
      <c r="E81" s="3">
        <f>16*40</f>
        <v>640</v>
      </c>
      <c r="F81" s="3">
        <f t="shared" si="63"/>
        <v>128</v>
      </c>
      <c r="G81" s="3">
        <f t="shared" si="62"/>
        <v>768</v>
      </c>
      <c r="H81" s="4" t="s">
        <v>15</v>
      </c>
      <c r="Q81">
        <f t="shared" si="64"/>
        <v>2023</v>
      </c>
      <c r="R81">
        <f t="shared" si="65"/>
        <v>6</v>
      </c>
    </row>
    <row r="82">
      <c r="A82" s="20">
        <v>45082</v>
      </c>
      <c r="B82" s="15" t="s">
        <v>12</v>
      </c>
      <c r="C82" s="15" t="s">
        <v>17</v>
      </c>
      <c r="D82" s="2" t="s">
        <v>347</v>
      </c>
      <c r="E82" s="3">
        <v>800</v>
      </c>
      <c r="F82" s="3">
        <f t="shared" si="63"/>
        <v>160</v>
      </c>
      <c r="G82" s="3">
        <f t="shared" si="62"/>
        <v>960</v>
      </c>
      <c r="H82" s="4" t="s">
        <v>15</v>
      </c>
      <c r="Q82">
        <f t="shared" si="64"/>
        <v>2023</v>
      </c>
      <c r="R82">
        <f t="shared" si="65"/>
        <v>6</v>
      </c>
    </row>
    <row r="83">
      <c r="A83" s="20">
        <v>45099</v>
      </c>
      <c r="B83" s="15" t="s">
        <v>12</v>
      </c>
      <c r="C83" s="15" t="s">
        <v>17</v>
      </c>
      <c r="D83" s="2" t="s">
        <v>348</v>
      </c>
      <c r="E83" s="3">
        <v>735</v>
      </c>
      <c r="F83" s="3">
        <f t="shared" si="63"/>
        <v>147</v>
      </c>
      <c r="G83" s="3">
        <f t="shared" si="62"/>
        <v>882</v>
      </c>
      <c r="H83" s="4" t="s">
        <v>15</v>
      </c>
      <c r="Q83">
        <f t="shared" si="64"/>
        <v>2023</v>
      </c>
      <c r="R83">
        <f t="shared" si="65"/>
        <v>6</v>
      </c>
    </row>
    <row r="84">
      <c r="A84" s="20">
        <v>45086</v>
      </c>
      <c r="B84" s="15" t="s">
        <v>19</v>
      </c>
      <c r="C84" s="15" t="s">
        <v>17</v>
      </c>
      <c r="D84" s="2" t="s">
        <v>349</v>
      </c>
      <c r="E84" s="3">
        <f>3*450</f>
        <v>1350</v>
      </c>
      <c r="F84" s="3">
        <v>0</v>
      </c>
      <c r="G84" s="3">
        <f t="shared" si="62"/>
        <v>1350</v>
      </c>
      <c r="H84" s="4" t="s">
        <v>15</v>
      </c>
      <c r="Q84">
        <f t="shared" si="64"/>
        <v>2023</v>
      </c>
      <c r="R84">
        <f t="shared" si="65"/>
        <v>6</v>
      </c>
    </row>
    <row r="85">
      <c r="A85" s="20">
        <v>45093</v>
      </c>
      <c r="B85" s="15" t="s">
        <v>19</v>
      </c>
      <c r="C85" s="15" t="s">
        <v>17</v>
      </c>
      <c r="D85" s="2" t="s">
        <v>350</v>
      </c>
      <c r="E85" s="3">
        <v>500</v>
      </c>
      <c r="F85" s="3">
        <v>0</v>
      </c>
      <c r="G85" s="3">
        <f t="shared" si="62"/>
        <v>500</v>
      </c>
      <c r="H85" s="4" t="s">
        <v>15</v>
      </c>
      <c r="Q85">
        <f t="shared" si="64"/>
        <v>2023</v>
      </c>
      <c r="R85">
        <f t="shared" si="65"/>
        <v>6</v>
      </c>
    </row>
    <row r="86">
      <c r="A86" s="20">
        <v>45099</v>
      </c>
      <c r="B86" s="15" t="s">
        <v>12</v>
      </c>
      <c r="C86" s="15" t="s">
        <v>17</v>
      </c>
      <c r="D86" s="2" t="s">
        <v>351</v>
      </c>
      <c r="E86" s="3">
        <v>60</v>
      </c>
      <c r="F86" s="3">
        <f t="shared" si="63"/>
        <v>12</v>
      </c>
      <c r="G86" s="3">
        <f t="shared" si="62"/>
        <v>72</v>
      </c>
      <c r="H86" s="4" t="s">
        <v>15</v>
      </c>
      <c r="Q86">
        <f t="shared" si="64"/>
        <v>2023</v>
      </c>
      <c r="R86">
        <f t="shared" si="65"/>
        <v>6</v>
      </c>
    </row>
    <row r="87">
      <c r="A87" s="20">
        <v>45103</v>
      </c>
      <c r="B87" s="15" t="s">
        <v>12</v>
      </c>
      <c r="C87" s="15" t="s">
        <v>17</v>
      </c>
      <c r="D87" s="2" t="s">
        <v>352</v>
      </c>
      <c r="E87" s="3">
        <v>735</v>
      </c>
      <c r="F87" s="3">
        <f t="shared" si="63"/>
        <v>147</v>
      </c>
      <c r="G87" s="3">
        <f t="shared" si="62"/>
        <v>882</v>
      </c>
      <c r="H87" s="4" t="s">
        <v>15</v>
      </c>
      <c r="Q87">
        <f t="shared" si="64"/>
        <v>2023</v>
      </c>
      <c r="R87">
        <f t="shared" si="65"/>
        <v>6</v>
      </c>
    </row>
    <row r="88">
      <c r="A88" s="20">
        <v>45103</v>
      </c>
      <c r="B88" s="15" t="s">
        <v>19</v>
      </c>
      <c r="C88" s="15" t="s">
        <v>17</v>
      </c>
      <c r="D88" s="2" t="s">
        <v>353</v>
      </c>
      <c r="E88" s="3">
        <v>250</v>
      </c>
      <c r="F88" s="3">
        <v>0</v>
      </c>
      <c r="G88" s="3">
        <f t="shared" si="62"/>
        <v>250</v>
      </c>
      <c r="H88" s="4" t="s">
        <v>15</v>
      </c>
      <c r="Q88">
        <f t="shared" si="64"/>
        <v>2023</v>
      </c>
      <c r="R88">
        <f t="shared" si="65"/>
        <v>6</v>
      </c>
    </row>
    <row r="89">
      <c r="A89" s="20">
        <v>45103</v>
      </c>
      <c r="B89" s="15" t="s">
        <v>276</v>
      </c>
      <c r="C89" s="15" t="s">
        <v>17</v>
      </c>
      <c r="D89" s="2" t="s">
        <v>354</v>
      </c>
      <c r="E89" s="3">
        <f>4*3.5*72</f>
        <v>1008</v>
      </c>
      <c r="F89" s="3">
        <f t="shared" si="63"/>
        <v>201.60000000000002</v>
      </c>
      <c r="G89" s="3">
        <f t="shared" si="62"/>
        <v>1209.5999999999999</v>
      </c>
      <c r="H89" s="4" t="s">
        <v>15</v>
      </c>
      <c r="Q89">
        <f t="shared" si="64"/>
        <v>2023</v>
      </c>
      <c r="R89">
        <f t="shared" si="65"/>
        <v>6</v>
      </c>
    </row>
    <row r="90">
      <c r="A90" s="20">
        <v>45107</v>
      </c>
      <c r="B90" s="15" t="s">
        <v>276</v>
      </c>
      <c r="C90" s="15" t="s">
        <v>13</v>
      </c>
      <c r="D90" s="2" t="s">
        <v>355</v>
      </c>
      <c r="E90" s="3">
        <f>7*3.5*72</f>
        <v>1764</v>
      </c>
      <c r="F90" s="3">
        <f t="shared" si="63"/>
        <v>352.80000000000001</v>
      </c>
      <c r="G90" s="3">
        <f t="shared" si="62"/>
        <v>2116.8000000000002</v>
      </c>
      <c r="H90" s="4" t="s">
        <v>15</v>
      </c>
      <c r="Q90">
        <f t="shared" si="64"/>
        <v>2023</v>
      </c>
      <c r="R90">
        <f t="shared" si="65"/>
        <v>6</v>
      </c>
    </row>
    <row r="91">
      <c r="A91" s="20">
        <v>45107</v>
      </c>
      <c r="B91" s="15" t="s">
        <v>151</v>
      </c>
      <c r="C91" s="15" t="s">
        <v>13</v>
      </c>
      <c r="D91" s="2" t="s">
        <v>356</v>
      </c>
      <c r="E91" s="3">
        <f>427.5*12</f>
        <v>5130</v>
      </c>
      <c r="F91" s="3">
        <f t="shared" si="63"/>
        <v>1026</v>
      </c>
      <c r="G91" s="3">
        <f t="shared" si="62"/>
        <v>6156</v>
      </c>
      <c r="H91" s="4" t="s">
        <v>15</v>
      </c>
      <c r="Q91">
        <f t="shared" si="64"/>
        <v>2023</v>
      </c>
      <c r="R91">
        <f t="shared" si="65"/>
        <v>6</v>
      </c>
    </row>
    <row r="92">
      <c r="A92" s="20">
        <v>45107</v>
      </c>
      <c r="B92" s="15" t="s">
        <v>341</v>
      </c>
      <c r="C92" s="15" t="s">
        <v>17</v>
      </c>
      <c r="D92" s="2" t="s">
        <v>357</v>
      </c>
      <c r="E92" s="3">
        <f>8*550</f>
        <v>4400</v>
      </c>
      <c r="F92" s="3">
        <f t="shared" si="63"/>
        <v>880</v>
      </c>
      <c r="G92" s="3">
        <f t="shared" si="62"/>
        <v>5280</v>
      </c>
      <c r="H92" s="4" t="s">
        <v>15</v>
      </c>
      <c r="Q92">
        <f t="shared" si="64"/>
        <v>2023</v>
      </c>
      <c r="R92">
        <f t="shared" si="65"/>
        <v>6</v>
      </c>
    </row>
    <row r="93">
      <c r="A93" s="20">
        <v>45112</v>
      </c>
      <c r="B93" s="15" t="s">
        <v>12</v>
      </c>
      <c r="C93" s="15" t="s">
        <v>17</v>
      </c>
      <c r="D93" s="2" t="s">
        <v>358</v>
      </c>
      <c r="E93" s="3">
        <v>1040</v>
      </c>
      <c r="F93" s="3">
        <f t="shared" si="63"/>
        <v>208</v>
      </c>
      <c r="G93" s="3">
        <f t="shared" si="62"/>
        <v>1248</v>
      </c>
      <c r="H93" s="4" t="s">
        <v>15</v>
      </c>
      <c r="Q93">
        <f t="shared" si="64"/>
        <v>2023</v>
      </c>
      <c r="R93">
        <f t="shared" si="65"/>
        <v>7</v>
      </c>
    </row>
    <row r="94">
      <c r="A94" s="20">
        <v>45112</v>
      </c>
      <c r="B94" s="15" t="s">
        <v>19</v>
      </c>
      <c r="C94" s="15" t="s">
        <v>17</v>
      </c>
      <c r="D94" s="2" t="s">
        <v>359</v>
      </c>
      <c r="E94" s="3">
        <f>500*2+300*2</f>
        <v>1600</v>
      </c>
      <c r="F94" s="3">
        <v>0</v>
      </c>
      <c r="G94" s="3">
        <f t="shared" si="62"/>
        <v>1600</v>
      </c>
      <c r="H94" s="4" t="s">
        <v>15</v>
      </c>
      <c r="Q94">
        <f t="shared" si="64"/>
        <v>2023</v>
      </c>
      <c r="R94">
        <f t="shared" si="65"/>
        <v>7</v>
      </c>
    </row>
    <row r="95">
      <c r="A95" s="20">
        <v>45112</v>
      </c>
      <c r="B95" s="15" t="s">
        <v>12</v>
      </c>
      <c r="C95" s="15" t="s">
        <v>13</v>
      </c>
      <c r="D95" s="19" t="s">
        <v>360</v>
      </c>
      <c r="E95" s="3">
        <f>22*40+30</f>
        <v>910</v>
      </c>
      <c r="F95" s="3">
        <f t="shared" si="63"/>
        <v>182</v>
      </c>
      <c r="G95" s="3">
        <f t="shared" si="62"/>
        <v>1092</v>
      </c>
      <c r="H95" s="4" t="s">
        <v>15</v>
      </c>
      <c r="Q95">
        <f t="shared" si="64"/>
        <v>2023</v>
      </c>
      <c r="R95">
        <f t="shared" si="65"/>
        <v>7</v>
      </c>
    </row>
    <row r="96">
      <c r="A96" s="20">
        <v>45114</v>
      </c>
      <c r="B96" s="15" t="s">
        <v>151</v>
      </c>
      <c r="C96" s="15" t="s">
        <v>13</v>
      </c>
      <c r="D96" s="2" t="s">
        <v>361</v>
      </c>
      <c r="E96" s="3">
        <f>427.5*4</f>
        <v>1710</v>
      </c>
      <c r="F96" s="3">
        <f t="shared" si="63"/>
        <v>342</v>
      </c>
      <c r="G96" s="3">
        <f t="shared" si="62"/>
        <v>2052</v>
      </c>
      <c r="H96" s="4" t="s">
        <v>15</v>
      </c>
      <c r="Q96">
        <f t="shared" si="64"/>
        <v>2023</v>
      </c>
      <c r="R96">
        <f t="shared" si="65"/>
        <v>7</v>
      </c>
    </row>
    <row r="97">
      <c r="A97" s="20">
        <v>45128</v>
      </c>
      <c r="B97" s="15" t="s">
        <v>12</v>
      </c>
      <c r="C97" s="15" t="s">
        <v>17</v>
      </c>
      <c r="D97" s="2" t="s">
        <v>362</v>
      </c>
      <c r="E97" s="3">
        <v>765</v>
      </c>
      <c r="F97" s="3">
        <f t="shared" si="63"/>
        <v>153</v>
      </c>
      <c r="G97" s="3">
        <f t="shared" si="62"/>
        <v>918</v>
      </c>
      <c r="H97" s="4" t="s">
        <v>15</v>
      </c>
      <c r="Q97">
        <f t="shared" si="64"/>
        <v>2023</v>
      </c>
      <c r="R97">
        <f t="shared" si="65"/>
        <v>7</v>
      </c>
    </row>
    <row r="98">
      <c r="A98" s="20">
        <v>45128</v>
      </c>
      <c r="B98" s="15" t="s">
        <v>12</v>
      </c>
      <c r="C98" s="15" t="s">
        <v>17</v>
      </c>
      <c r="D98" s="2" t="s">
        <v>363</v>
      </c>
      <c r="E98" s="3">
        <v>330</v>
      </c>
      <c r="F98" s="3">
        <f t="shared" si="63"/>
        <v>66</v>
      </c>
      <c r="G98" s="3">
        <f t="shared" si="62"/>
        <v>396</v>
      </c>
      <c r="H98" s="4" t="s">
        <v>15</v>
      </c>
      <c r="Q98">
        <f t="shared" si="64"/>
        <v>2023</v>
      </c>
      <c r="R98">
        <f t="shared" si="65"/>
        <v>7</v>
      </c>
    </row>
    <row r="99">
      <c r="A99" s="20">
        <v>45138</v>
      </c>
      <c r="B99" s="15" t="s">
        <v>341</v>
      </c>
      <c r="C99" s="15" t="s">
        <v>17</v>
      </c>
      <c r="D99" s="2" t="s">
        <v>364</v>
      </c>
      <c r="E99" s="3">
        <f>8*550</f>
        <v>4400</v>
      </c>
      <c r="F99" s="3">
        <f t="shared" si="63"/>
        <v>880</v>
      </c>
      <c r="G99" s="3">
        <f t="shared" si="62"/>
        <v>5280</v>
      </c>
      <c r="H99" s="4" t="s">
        <v>15</v>
      </c>
      <c r="Q99">
        <f t="shared" si="64"/>
        <v>2023</v>
      </c>
      <c r="R99">
        <f t="shared" si="65"/>
        <v>7</v>
      </c>
    </row>
    <row r="100">
      <c r="A100" s="20">
        <v>45138</v>
      </c>
      <c r="B100" s="15" t="s">
        <v>365</v>
      </c>
      <c r="C100" s="15" t="s">
        <v>17</v>
      </c>
      <c r="D100" s="2" t="s">
        <v>366</v>
      </c>
      <c r="E100" s="3">
        <f>4*700</f>
        <v>2800</v>
      </c>
      <c r="F100" s="3">
        <f t="shared" ref="F100:F154" si="66">0.2*E100</f>
        <v>560</v>
      </c>
      <c r="G100" s="3">
        <f t="shared" ref="G100:G154" si="67">F100+E100</f>
        <v>3360</v>
      </c>
      <c r="H100" s="4" t="s">
        <v>15</v>
      </c>
      <c r="Q100">
        <f t="shared" ref="Q100:Q163" si="68">YEAR(A100)</f>
        <v>2023</v>
      </c>
      <c r="R100">
        <f t="shared" ref="R100:R163" si="69">MONTH(A100)</f>
        <v>7</v>
      </c>
    </row>
    <row r="101">
      <c r="A101" s="20">
        <v>45138</v>
      </c>
      <c r="B101" s="15" t="s">
        <v>365</v>
      </c>
      <c r="C101" s="15" t="s">
        <v>367</v>
      </c>
      <c r="D101" s="2" t="s">
        <v>366</v>
      </c>
      <c r="E101" s="3">
        <f>20*200</f>
        <v>4000</v>
      </c>
      <c r="F101" s="3">
        <f t="shared" si="66"/>
        <v>800</v>
      </c>
      <c r="G101" s="3">
        <f t="shared" si="67"/>
        <v>4800</v>
      </c>
      <c r="H101" s="4" t="s">
        <v>15</v>
      </c>
      <c r="Q101">
        <f t="shared" si="68"/>
        <v>2023</v>
      </c>
      <c r="R101">
        <f t="shared" si="69"/>
        <v>7</v>
      </c>
    </row>
    <row r="102">
      <c r="A102" s="20">
        <v>45143</v>
      </c>
      <c r="B102" s="15" t="s">
        <v>12</v>
      </c>
      <c r="C102" s="15" t="s">
        <v>17</v>
      </c>
      <c r="D102" s="2" t="s">
        <v>368</v>
      </c>
      <c r="E102" s="3">
        <v>760</v>
      </c>
      <c r="F102" s="3">
        <f t="shared" si="66"/>
        <v>152</v>
      </c>
      <c r="G102" s="3">
        <f t="shared" si="67"/>
        <v>912</v>
      </c>
      <c r="H102" s="4" t="s">
        <v>15</v>
      </c>
      <c r="Q102">
        <f t="shared" si="68"/>
        <v>2023</v>
      </c>
      <c r="R102">
        <f t="shared" si="69"/>
        <v>8</v>
      </c>
    </row>
    <row r="103">
      <c r="A103" s="20">
        <v>45143</v>
      </c>
      <c r="B103" s="15" t="s">
        <v>12</v>
      </c>
      <c r="C103" s="15" t="s">
        <v>13</v>
      </c>
      <c r="D103" s="2" t="s">
        <v>369</v>
      </c>
      <c r="E103" s="3">
        <v>910</v>
      </c>
      <c r="F103" s="3">
        <f t="shared" si="66"/>
        <v>182</v>
      </c>
      <c r="G103" s="3">
        <f t="shared" si="67"/>
        <v>1092</v>
      </c>
      <c r="H103" s="4" t="s">
        <v>15</v>
      </c>
      <c r="Q103">
        <f t="shared" si="68"/>
        <v>2023</v>
      </c>
      <c r="R103">
        <f t="shared" si="69"/>
        <v>8</v>
      </c>
    </row>
    <row r="104">
      <c r="A104" s="20">
        <v>45152</v>
      </c>
      <c r="B104" s="15" t="s">
        <v>12</v>
      </c>
      <c r="C104" s="15" t="s">
        <v>17</v>
      </c>
      <c r="D104" s="2" t="s">
        <v>370</v>
      </c>
      <c r="E104" s="3">
        <v>40</v>
      </c>
      <c r="F104" s="3">
        <f t="shared" si="66"/>
        <v>8</v>
      </c>
      <c r="G104" s="3">
        <f t="shared" si="67"/>
        <v>48</v>
      </c>
      <c r="H104" s="4" t="s">
        <v>15</v>
      </c>
      <c r="Q104">
        <f t="shared" si="68"/>
        <v>2023</v>
      </c>
      <c r="R104">
        <f t="shared" si="69"/>
        <v>8</v>
      </c>
    </row>
    <row r="105">
      <c r="A105" s="20">
        <v>45168</v>
      </c>
      <c r="B105" s="15" t="s">
        <v>12</v>
      </c>
      <c r="C105" s="15" t="s">
        <v>17</v>
      </c>
      <c r="D105" s="2" t="s">
        <v>371</v>
      </c>
      <c r="E105" s="3">
        <v>960</v>
      </c>
      <c r="F105" s="3">
        <f t="shared" si="66"/>
        <v>192</v>
      </c>
      <c r="G105" s="3">
        <f t="shared" si="67"/>
        <v>1152</v>
      </c>
      <c r="H105" s="4" t="s">
        <v>15</v>
      </c>
      <c r="Q105">
        <f t="shared" si="68"/>
        <v>2023</v>
      </c>
      <c r="R105">
        <f t="shared" si="69"/>
        <v>8</v>
      </c>
    </row>
    <row r="106">
      <c r="A106" s="20">
        <v>45168</v>
      </c>
      <c r="B106" s="15" t="s">
        <v>12</v>
      </c>
      <c r="C106" s="15" t="s">
        <v>17</v>
      </c>
      <c r="D106" s="2" t="s">
        <v>372</v>
      </c>
      <c r="E106" s="3">
        <v>750</v>
      </c>
      <c r="F106" s="3">
        <f t="shared" si="66"/>
        <v>150</v>
      </c>
      <c r="G106" s="3">
        <f t="shared" si="67"/>
        <v>900</v>
      </c>
      <c r="H106" s="4" t="s">
        <v>15</v>
      </c>
      <c r="Q106">
        <f t="shared" si="68"/>
        <v>2023</v>
      </c>
      <c r="R106">
        <f t="shared" si="69"/>
        <v>8</v>
      </c>
    </row>
    <row r="107">
      <c r="A107" s="20">
        <v>45169</v>
      </c>
      <c r="B107" s="15" t="s">
        <v>26</v>
      </c>
      <c r="C107" s="15" t="s">
        <v>13</v>
      </c>
      <c r="D107" s="2" t="s">
        <v>373</v>
      </c>
      <c r="E107" s="3">
        <f>500*7</f>
        <v>3500</v>
      </c>
      <c r="F107" s="3">
        <f t="shared" si="66"/>
        <v>700</v>
      </c>
      <c r="G107" s="3">
        <f t="shared" si="67"/>
        <v>4200</v>
      </c>
      <c r="H107" s="4" t="s">
        <v>15</v>
      </c>
      <c r="Q107">
        <f t="shared" si="68"/>
        <v>2023</v>
      </c>
      <c r="R107">
        <f t="shared" si="69"/>
        <v>8</v>
      </c>
    </row>
    <row r="108">
      <c r="A108" s="20">
        <v>45170</v>
      </c>
      <c r="B108" s="15" t="s">
        <v>276</v>
      </c>
      <c r="C108" s="15" t="s">
        <v>13</v>
      </c>
      <c r="D108" s="2" t="s">
        <v>374</v>
      </c>
      <c r="E108" s="3">
        <v>250</v>
      </c>
      <c r="F108" s="3">
        <f t="shared" si="66"/>
        <v>50</v>
      </c>
      <c r="G108" s="3">
        <f t="shared" si="67"/>
        <v>300</v>
      </c>
      <c r="H108" s="4" t="s">
        <v>15</v>
      </c>
      <c r="Q108">
        <f t="shared" si="68"/>
        <v>2023</v>
      </c>
      <c r="R108">
        <f t="shared" si="69"/>
        <v>9</v>
      </c>
    </row>
    <row r="109">
      <c r="A109" s="20">
        <v>45174</v>
      </c>
      <c r="B109" s="15" t="s">
        <v>12</v>
      </c>
      <c r="C109" s="15" t="s">
        <v>17</v>
      </c>
      <c r="D109" s="2" t="s">
        <v>375</v>
      </c>
      <c r="E109" s="3">
        <v>680</v>
      </c>
      <c r="F109" s="3">
        <f t="shared" si="66"/>
        <v>136</v>
      </c>
      <c r="G109" s="3">
        <f t="shared" si="67"/>
        <v>816</v>
      </c>
      <c r="H109" s="4" t="s">
        <v>15</v>
      </c>
      <c r="Q109">
        <f t="shared" si="68"/>
        <v>2023</v>
      </c>
      <c r="R109">
        <f t="shared" si="69"/>
        <v>9</v>
      </c>
    </row>
    <row r="110">
      <c r="A110" s="20">
        <v>45174</v>
      </c>
      <c r="B110" s="15" t="s">
        <v>12</v>
      </c>
      <c r="C110" s="15" t="s">
        <v>13</v>
      </c>
      <c r="D110" s="19" t="s">
        <v>376</v>
      </c>
      <c r="E110" s="3">
        <v>815</v>
      </c>
      <c r="F110" s="3">
        <f t="shared" si="66"/>
        <v>163</v>
      </c>
      <c r="G110" s="3">
        <f t="shared" si="67"/>
        <v>978</v>
      </c>
      <c r="H110" s="4" t="s">
        <v>15</v>
      </c>
      <c r="Q110">
        <f t="shared" si="68"/>
        <v>2023</v>
      </c>
      <c r="R110">
        <f t="shared" si="69"/>
        <v>9</v>
      </c>
    </row>
    <row r="111">
      <c r="A111" s="20">
        <v>45195</v>
      </c>
      <c r="B111" s="15" t="s">
        <v>12</v>
      </c>
      <c r="C111" s="15" t="s">
        <v>17</v>
      </c>
      <c r="D111" s="19" t="s">
        <v>377</v>
      </c>
      <c r="E111" s="3">
        <v>600</v>
      </c>
      <c r="F111" s="3">
        <f t="shared" si="66"/>
        <v>120</v>
      </c>
      <c r="G111" s="3">
        <f t="shared" si="67"/>
        <v>720</v>
      </c>
      <c r="H111" s="4" t="s">
        <v>15</v>
      </c>
      <c r="I111" t="s">
        <v>378</v>
      </c>
      <c r="Q111">
        <f t="shared" si="68"/>
        <v>2023</v>
      </c>
      <c r="R111">
        <f t="shared" si="69"/>
        <v>9</v>
      </c>
    </row>
    <row r="112">
      <c r="A112" s="20">
        <v>45195</v>
      </c>
      <c r="B112" s="15" t="s">
        <v>12</v>
      </c>
      <c r="C112" s="15" t="s">
        <v>17</v>
      </c>
      <c r="D112" s="19" t="s">
        <v>379</v>
      </c>
      <c r="E112" s="3">
        <v>825</v>
      </c>
      <c r="F112" s="3">
        <f t="shared" si="66"/>
        <v>165</v>
      </c>
      <c r="G112" s="3">
        <f t="shared" si="67"/>
        <v>990</v>
      </c>
      <c r="H112" s="4" t="s">
        <v>15</v>
      </c>
      <c r="I112" t="s">
        <v>378</v>
      </c>
      <c r="Q112">
        <f t="shared" si="68"/>
        <v>2023</v>
      </c>
      <c r="R112">
        <f t="shared" si="69"/>
        <v>9</v>
      </c>
    </row>
    <row r="113">
      <c r="A113" s="20">
        <v>45196</v>
      </c>
      <c r="B113" s="15" t="s">
        <v>26</v>
      </c>
      <c r="C113" s="15" t="s">
        <v>13</v>
      </c>
      <c r="D113" s="2" t="s">
        <v>380</v>
      </c>
      <c r="E113" s="3">
        <f>13.5*500</f>
        <v>6750</v>
      </c>
      <c r="F113" s="3">
        <f t="shared" si="66"/>
        <v>1350</v>
      </c>
      <c r="G113" s="3">
        <f t="shared" si="67"/>
        <v>8100</v>
      </c>
      <c r="H113" s="4" t="s">
        <v>15</v>
      </c>
      <c r="Q113">
        <f t="shared" si="68"/>
        <v>2023</v>
      </c>
      <c r="R113">
        <f t="shared" si="69"/>
        <v>9</v>
      </c>
    </row>
    <row r="114">
      <c r="A114" s="20">
        <v>45199</v>
      </c>
      <c r="B114" s="15" t="s">
        <v>341</v>
      </c>
      <c r="C114" s="15" t="s">
        <v>17</v>
      </c>
      <c r="D114" s="2" t="s">
        <v>381</v>
      </c>
      <c r="E114" s="3">
        <f>9*550</f>
        <v>4950</v>
      </c>
      <c r="F114" s="3">
        <f t="shared" si="66"/>
        <v>990</v>
      </c>
      <c r="G114" s="3">
        <f t="shared" si="67"/>
        <v>5940</v>
      </c>
      <c r="H114" s="4" t="s">
        <v>15</v>
      </c>
      <c r="Q114">
        <f t="shared" si="68"/>
        <v>2023</v>
      </c>
      <c r="R114">
        <f t="shared" si="69"/>
        <v>9</v>
      </c>
    </row>
    <row r="115">
      <c r="A115" s="20">
        <v>45202</v>
      </c>
      <c r="B115" s="15" t="s">
        <v>45</v>
      </c>
      <c r="C115" s="15" t="s">
        <v>17</v>
      </c>
      <c r="D115" s="19" t="s">
        <v>382</v>
      </c>
      <c r="E115" s="3">
        <v>750</v>
      </c>
      <c r="F115" s="3">
        <v>0</v>
      </c>
      <c r="G115" s="3">
        <f t="shared" si="67"/>
        <v>750</v>
      </c>
      <c r="H115" s="4" t="s">
        <v>15</v>
      </c>
      <c r="Q115">
        <f t="shared" si="68"/>
        <v>2023</v>
      </c>
      <c r="R115">
        <f t="shared" si="69"/>
        <v>10</v>
      </c>
    </row>
    <row r="116">
      <c r="A116" s="20">
        <v>45204</v>
      </c>
      <c r="B116" s="15" t="s">
        <v>12</v>
      </c>
      <c r="C116" s="15" t="s">
        <v>17</v>
      </c>
      <c r="D116" s="19" t="s">
        <v>383</v>
      </c>
      <c r="E116" s="3">
        <v>1145</v>
      </c>
      <c r="F116" s="3">
        <f t="shared" si="66"/>
        <v>229</v>
      </c>
      <c r="G116" s="3">
        <f t="shared" si="67"/>
        <v>1374</v>
      </c>
      <c r="H116" s="4" t="s">
        <v>15</v>
      </c>
      <c r="I116" t="s">
        <v>378</v>
      </c>
      <c r="Q116">
        <f t="shared" si="68"/>
        <v>2023</v>
      </c>
      <c r="R116">
        <f t="shared" si="69"/>
        <v>10</v>
      </c>
    </row>
    <row r="117">
      <c r="A117" s="20">
        <v>45204</v>
      </c>
      <c r="B117" s="15" t="s">
        <v>12</v>
      </c>
      <c r="C117" s="15" t="s">
        <v>13</v>
      </c>
      <c r="D117" s="19" t="s">
        <v>384</v>
      </c>
      <c r="E117" s="3">
        <v>620</v>
      </c>
      <c r="F117" s="3">
        <f t="shared" si="66"/>
        <v>124</v>
      </c>
      <c r="G117" s="3">
        <f t="shared" si="67"/>
        <v>744</v>
      </c>
      <c r="H117" s="4" t="s">
        <v>15</v>
      </c>
      <c r="I117" t="s">
        <v>378</v>
      </c>
      <c r="Q117">
        <f t="shared" si="68"/>
        <v>2023</v>
      </c>
      <c r="R117">
        <f t="shared" si="69"/>
        <v>10</v>
      </c>
    </row>
    <row r="118">
      <c r="A118" s="20">
        <v>45211</v>
      </c>
      <c r="B118" s="15" t="s">
        <v>385</v>
      </c>
      <c r="C118" s="15" t="s">
        <v>17</v>
      </c>
      <c r="D118" s="19" t="s">
        <v>386</v>
      </c>
      <c r="E118" s="3">
        <v>200</v>
      </c>
      <c r="F118" s="3">
        <f t="shared" si="66"/>
        <v>40</v>
      </c>
      <c r="G118" s="3">
        <f t="shared" si="67"/>
        <v>240</v>
      </c>
      <c r="H118" s="4" t="s">
        <v>15</v>
      </c>
      <c r="Q118">
        <f t="shared" si="68"/>
        <v>2023</v>
      </c>
      <c r="R118">
        <f t="shared" si="69"/>
        <v>10</v>
      </c>
    </row>
    <row r="119">
      <c r="A119" s="20">
        <v>45214</v>
      </c>
      <c r="B119" s="15" t="s">
        <v>45</v>
      </c>
      <c r="C119" s="15" t="s">
        <v>17</v>
      </c>
      <c r="D119" s="19" t="s">
        <v>387</v>
      </c>
      <c r="E119" s="3">
        <v>650</v>
      </c>
      <c r="F119" s="3">
        <v>0</v>
      </c>
      <c r="G119" s="3">
        <f t="shared" si="67"/>
        <v>650</v>
      </c>
      <c r="H119" s="4" t="s">
        <v>15</v>
      </c>
      <c r="Q119">
        <f t="shared" si="68"/>
        <v>2023</v>
      </c>
      <c r="R119">
        <f t="shared" si="69"/>
        <v>10</v>
      </c>
    </row>
    <row r="120">
      <c r="A120" s="20">
        <v>45224</v>
      </c>
      <c r="B120" s="15" t="s">
        <v>26</v>
      </c>
      <c r="C120" s="15" t="s">
        <v>13</v>
      </c>
      <c r="D120" s="2" t="s">
        <v>388</v>
      </c>
      <c r="E120" s="3">
        <f>13*500</f>
        <v>6500</v>
      </c>
      <c r="F120" s="3">
        <f t="shared" si="66"/>
        <v>1300</v>
      </c>
      <c r="G120" s="3">
        <f t="shared" si="67"/>
        <v>7800</v>
      </c>
      <c r="H120" s="4" t="s">
        <v>15</v>
      </c>
      <c r="Q120">
        <f t="shared" si="68"/>
        <v>2023</v>
      </c>
      <c r="R120">
        <f t="shared" si="69"/>
        <v>10</v>
      </c>
    </row>
    <row r="121">
      <c r="A121" s="20">
        <v>45219</v>
      </c>
      <c r="B121" s="15" t="s">
        <v>389</v>
      </c>
      <c r="C121" s="15" t="s">
        <v>17</v>
      </c>
      <c r="D121" s="2" t="s">
        <v>390</v>
      </c>
      <c r="E121" s="3">
        <f>2*800</f>
        <v>1600</v>
      </c>
      <c r="F121" s="3">
        <v>0</v>
      </c>
      <c r="G121" s="3">
        <f t="shared" si="67"/>
        <v>1600</v>
      </c>
      <c r="H121" s="4" t="s">
        <v>15</v>
      </c>
      <c r="Q121">
        <f t="shared" si="68"/>
        <v>2023</v>
      </c>
      <c r="R121">
        <f t="shared" si="69"/>
        <v>10</v>
      </c>
    </row>
    <row r="122">
      <c r="A122" s="20">
        <v>45230</v>
      </c>
      <c r="B122" s="15" t="s">
        <v>341</v>
      </c>
      <c r="C122" s="15" t="s">
        <v>17</v>
      </c>
      <c r="D122" s="2" t="s">
        <v>391</v>
      </c>
      <c r="E122" s="3">
        <f>4*550</f>
        <v>2200</v>
      </c>
      <c r="F122" s="3">
        <f t="shared" si="66"/>
        <v>440</v>
      </c>
      <c r="G122" s="3">
        <f t="shared" si="67"/>
        <v>2640</v>
      </c>
      <c r="H122" s="4" t="s">
        <v>15</v>
      </c>
      <c r="Q122">
        <f t="shared" si="68"/>
        <v>2023</v>
      </c>
      <c r="R122">
        <f t="shared" si="69"/>
        <v>10</v>
      </c>
    </row>
    <row r="123">
      <c r="A123" s="20">
        <v>45226</v>
      </c>
      <c r="B123" s="15" t="s">
        <v>12</v>
      </c>
      <c r="C123" s="15" t="s">
        <v>17</v>
      </c>
      <c r="D123" s="2" t="s">
        <v>392</v>
      </c>
      <c r="E123" s="3">
        <v>795</v>
      </c>
      <c r="F123" s="3">
        <f t="shared" si="66"/>
        <v>159</v>
      </c>
      <c r="G123" s="3">
        <f t="shared" si="67"/>
        <v>954</v>
      </c>
      <c r="H123" s="4" t="s">
        <v>15</v>
      </c>
      <c r="J123">
        <v>2460</v>
      </c>
      <c r="K123" t="s">
        <v>393</v>
      </c>
      <c r="Q123">
        <f t="shared" si="68"/>
        <v>2023</v>
      </c>
      <c r="R123">
        <f t="shared" si="69"/>
        <v>10</v>
      </c>
    </row>
    <row r="124">
      <c r="A124" s="20">
        <v>45226</v>
      </c>
      <c r="B124" s="15" t="s">
        <v>19</v>
      </c>
      <c r="C124" s="15" t="s">
        <v>17</v>
      </c>
      <c r="D124" s="2" t="s">
        <v>394</v>
      </c>
      <c r="E124" s="3">
        <f>5*450</f>
        <v>2250</v>
      </c>
      <c r="F124" s="3">
        <v>0</v>
      </c>
      <c r="G124" s="3">
        <f t="shared" si="67"/>
        <v>2250</v>
      </c>
      <c r="H124" s="4" t="s">
        <v>15</v>
      </c>
      <c r="Q124">
        <f t="shared" si="68"/>
        <v>2023</v>
      </c>
      <c r="R124">
        <f t="shared" si="69"/>
        <v>10</v>
      </c>
    </row>
    <row r="125">
      <c r="A125" s="20">
        <v>45237</v>
      </c>
      <c r="B125" s="15" t="s">
        <v>12</v>
      </c>
      <c r="C125" s="15" t="s">
        <v>13</v>
      </c>
      <c r="D125" s="19" t="s">
        <v>395</v>
      </c>
      <c r="E125" s="3">
        <v>590</v>
      </c>
      <c r="F125" s="3">
        <f t="shared" si="66"/>
        <v>118</v>
      </c>
      <c r="G125" s="140">
        <f t="shared" si="67"/>
        <v>708</v>
      </c>
      <c r="H125" s="4" t="s">
        <v>15</v>
      </c>
      <c r="I125" t="s">
        <v>378</v>
      </c>
      <c r="Q125">
        <f t="shared" si="68"/>
        <v>2023</v>
      </c>
      <c r="R125">
        <f t="shared" si="69"/>
        <v>11</v>
      </c>
    </row>
    <row r="126">
      <c r="A126" s="20">
        <v>45235</v>
      </c>
      <c r="B126" s="15" t="s">
        <v>12</v>
      </c>
      <c r="C126" s="15" t="s">
        <v>17</v>
      </c>
      <c r="D126" s="19" t="s">
        <v>396</v>
      </c>
      <c r="E126" s="3">
        <v>1255</v>
      </c>
      <c r="F126" s="3">
        <f t="shared" si="66"/>
        <v>251</v>
      </c>
      <c r="G126" s="3">
        <f t="shared" si="67"/>
        <v>1506</v>
      </c>
      <c r="H126" s="4" t="s">
        <v>15</v>
      </c>
      <c r="Q126">
        <f t="shared" si="68"/>
        <v>2023</v>
      </c>
      <c r="R126">
        <f t="shared" si="69"/>
        <v>11</v>
      </c>
    </row>
    <row r="127">
      <c r="A127" s="20">
        <v>45253</v>
      </c>
      <c r="B127" s="1" t="s">
        <v>19</v>
      </c>
      <c r="C127" s="15" t="s">
        <v>17</v>
      </c>
      <c r="D127" s="19" t="s">
        <v>397</v>
      </c>
      <c r="E127" s="3">
        <f>2*450</f>
        <v>900</v>
      </c>
      <c r="F127" s="3">
        <v>0</v>
      </c>
      <c r="G127" s="3">
        <f t="shared" si="67"/>
        <v>900</v>
      </c>
      <c r="H127" s="4" t="s">
        <v>15</v>
      </c>
      <c r="Q127">
        <f t="shared" si="68"/>
        <v>2023</v>
      </c>
      <c r="R127">
        <f t="shared" si="69"/>
        <v>11</v>
      </c>
    </row>
    <row r="128">
      <c r="A128" s="20">
        <v>45254</v>
      </c>
      <c r="B128" s="1" t="s">
        <v>12</v>
      </c>
      <c r="C128" s="15" t="s">
        <v>17</v>
      </c>
      <c r="D128" s="19" t="s">
        <v>398</v>
      </c>
      <c r="E128" s="3">
        <v>690</v>
      </c>
      <c r="F128" s="3">
        <f t="shared" si="66"/>
        <v>138</v>
      </c>
      <c r="G128" s="3">
        <f t="shared" si="67"/>
        <v>828</v>
      </c>
      <c r="H128" s="4" t="s">
        <v>15</v>
      </c>
      <c r="Q128">
        <f t="shared" si="68"/>
        <v>2023</v>
      </c>
      <c r="R128">
        <f t="shared" si="69"/>
        <v>11</v>
      </c>
    </row>
    <row r="129">
      <c r="A129" s="20">
        <v>45244</v>
      </c>
      <c r="B129" s="15" t="s">
        <v>389</v>
      </c>
      <c r="C129" s="15" t="s">
        <v>17</v>
      </c>
      <c r="D129" s="19" t="s">
        <v>399</v>
      </c>
      <c r="E129" s="3">
        <f>800</f>
        <v>800</v>
      </c>
      <c r="F129" s="3">
        <v>0</v>
      </c>
      <c r="G129" s="3">
        <f t="shared" si="67"/>
        <v>800</v>
      </c>
      <c r="H129" s="4" t="s">
        <v>15</v>
      </c>
      <c r="Q129">
        <f t="shared" si="68"/>
        <v>2023</v>
      </c>
      <c r="R129">
        <f t="shared" si="69"/>
        <v>11</v>
      </c>
    </row>
    <row r="130">
      <c r="A130" s="20">
        <v>45259</v>
      </c>
      <c r="B130" s="1" t="s">
        <v>105</v>
      </c>
      <c r="C130" s="15" t="s">
        <v>17</v>
      </c>
      <c r="D130" s="2" t="s">
        <v>400</v>
      </c>
      <c r="E130" s="3">
        <v>1500</v>
      </c>
      <c r="F130" s="3">
        <v>0</v>
      </c>
      <c r="G130" s="3">
        <f t="shared" si="67"/>
        <v>1500</v>
      </c>
      <c r="H130" s="4" t="s">
        <v>15</v>
      </c>
      <c r="Q130">
        <f t="shared" si="68"/>
        <v>2023</v>
      </c>
      <c r="R130">
        <f t="shared" si="69"/>
        <v>11</v>
      </c>
    </row>
    <row r="131">
      <c r="A131" s="20">
        <v>45260</v>
      </c>
      <c r="B131" s="15" t="s">
        <v>26</v>
      </c>
      <c r="C131" s="15" t="s">
        <v>13</v>
      </c>
      <c r="D131" s="2" t="s">
        <v>401</v>
      </c>
      <c r="E131" s="3">
        <f>14*500</f>
        <v>7000</v>
      </c>
      <c r="F131" s="3">
        <f t="shared" si="66"/>
        <v>1400</v>
      </c>
      <c r="G131" s="3">
        <f t="shared" si="67"/>
        <v>8400</v>
      </c>
      <c r="H131" s="4" t="s">
        <v>15</v>
      </c>
      <c r="Q131">
        <f t="shared" si="68"/>
        <v>2023</v>
      </c>
      <c r="R131">
        <f t="shared" si="69"/>
        <v>11</v>
      </c>
    </row>
    <row r="132">
      <c r="A132" s="20">
        <v>45265</v>
      </c>
      <c r="B132" s="15" t="s">
        <v>12</v>
      </c>
      <c r="C132" s="15" t="s">
        <v>13</v>
      </c>
      <c r="D132" s="19" t="s">
        <v>402</v>
      </c>
      <c r="E132" s="3">
        <v>420</v>
      </c>
      <c r="F132" s="3">
        <f t="shared" si="66"/>
        <v>84</v>
      </c>
      <c r="G132" s="3">
        <f t="shared" si="67"/>
        <v>504</v>
      </c>
      <c r="H132" s="4" t="s">
        <v>15</v>
      </c>
      <c r="I132" t="s">
        <v>378</v>
      </c>
      <c r="Q132">
        <f t="shared" si="68"/>
        <v>2023</v>
      </c>
      <c r="R132">
        <f t="shared" si="69"/>
        <v>12</v>
      </c>
    </row>
    <row r="133">
      <c r="A133" s="20">
        <v>45265</v>
      </c>
      <c r="B133" s="15" t="s">
        <v>12</v>
      </c>
      <c r="C133" s="15" t="s">
        <v>17</v>
      </c>
      <c r="D133" s="19" t="s">
        <v>403</v>
      </c>
      <c r="E133" s="3">
        <v>1270</v>
      </c>
      <c r="F133" s="3">
        <f t="shared" si="66"/>
        <v>254</v>
      </c>
      <c r="G133" s="3">
        <f t="shared" si="67"/>
        <v>1524</v>
      </c>
      <c r="H133" s="4" t="s">
        <v>15</v>
      </c>
      <c r="I133" t="s">
        <v>378</v>
      </c>
      <c r="Q133">
        <f t="shared" si="68"/>
        <v>2023</v>
      </c>
      <c r="R133">
        <f t="shared" si="69"/>
        <v>12</v>
      </c>
    </row>
    <row r="134">
      <c r="A134" s="20">
        <v>45275</v>
      </c>
      <c r="B134" s="1" t="s">
        <v>19</v>
      </c>
      <c r="C134" s="15" t="s">
        <v>17</v>
      </c>
      <c r="D134" s="19" t="s">
        <v>404</v>
      </c>
      <c r="E134" s="3">
        <f>4*500+300</f>
        <v>2300</v>
      </c>
      <c r="F134" s="3">
        <v>0</v>
      </c>
      <c r="G134" s="3">
        <f t="shared" si="67"/>
        <v>2300</v>
      </c>
      <c r="H134" s="4" t="s">
        <v>15</v>
      </c>
      <c r="Q134">
        <f t="shared" si="68"/>
        <v>2023</v>
      </c>
      <c r="R134">
        <f t="shared" si="69"/>
        <v>12</v>
      </c>
    </row>
    <row r="135">
      <c r="A135" s="20">
        <v>45275</v>
      </c>
      <c r="B135" s="1" t="s">
        <v>19</v>
      </c>
      <c r="C135" s="15" t="s">
        <v>17</v>
      </c>
      <c r="D135" s="19" t="s">
        <v>405</v>
      </c>
      <c r="E135" s="3">
        <v>700</v>
      </c>
      <c r="G135" s="3">
        <f t="shared" si="67"/>
        <v>700</v>
      </c>
      <c r="H135" s="4" t="s">
        <v>15</v>
      </c>
      <c r="Q135">
        <f t="shared" si="68"/>
        <v>2023</v>
      </c>
      <c r="R135">
        <f t="shared" si="69"/>
        <v>12</v>
      </c>
    </row>
    <row r="136">
      <c r="A136" s="20">
        <v>45282</v>
      </c>
      <c r="B136" s="1" t="s">
        <v>12</v>
      </c>
      <c r="C136" s="15" t="s">
        <v>17</v>
      </c>
      <c r="D136" s="19" t="s">
        <v>406</v>
      </c>
      <c r="E136" s="3">
        <v>525</v>
      </c>
      <c r="F136" s="3">
        <f t="shared" si="66"/>
        <v>105</v>
      </c>
      <c r="G136" s="3">
        <f t="shared" si="67"/>
        <v>630</v>
      </c>
      <c r="H136" s="4" t="s">
        <v>15</v>
      </c>
      <c r="I136" t="s">
        <v>378</v>
      </c>
      <c r="Q136">
        <f t="shared" si="68"/>
        <v>2023</v>
      </c>
      <c r="R136">
        <f t="shared" si="69"/>
        <v>12</v>
      </c>
    </row>
    <row r="137">
      <c r="A137" s="20">
        <v>45290</v>
      </c>
      <c r="B137" s="1" t="s">
        <v>45</v>
      </c>
      <c r="C137" s="15" t="s">
        <v>17</v>
      </c>
      <c r="D137" s="19" t="s">
        <v>407</v>
      </c>
      <c r="E137" s="3">
        <f>750*3</f>
        <v>2250</v>
      </c>
      <c r="F137" s="3">
        <v>0</v>
      </c>
      <c r="G137" s="3">
        <f t="shared" si="67"/>
        <v>2250</v>
      </c>
      <c r="H137" s="4" t="s">
        <v>15</v>
      </c>
      <c r="Q137">
        <f t="shared" si="68"/>
        <v>2023</v>
      </c>
      <c r="R137">
        <f t="shared" si="69"/>
        <v>12</v>
      </c>
    </row>
    <row r="138">
      <c r="A138" s="20">
        <v>45291</v>
      </c>
      <c r="B138" s="15" t="s">
        <v>26</v>
      </c>
      <c r="C138" s="15" t="s">
        <v>13</v>
      </c>
      <c r="D138" s="2" t="s">
        <v>408</v>
      </c>
      <c r="E138" s="3">
        <f>11*500</f>
        <v>5500</v>
      </c>
      <c r="F138" s="3">
        <f t="shared" si="66"/>
        <v>1100</v>
      </c>
      <c r="G138" s="3">
        <f t="shared" si="67"/>
        <v>6600</v>
      </c>
      <c r="H138" s="4" t="s">
        <v>15</v>
      </c>
      <c r="Q138">
        <f t="shared" si="68"/>
        <v>2023</v>
      </c>
      <c r="R138">
        <f t="shared" si="69"/>
        <v>12</v>
      </c>
    </row>
    <row r="139">
      <c r="A139" s="20">
        <v>45290</v>
      </c>
      <c r="B139" s="1" t="s">
        <v>19</v>
      </c>
      <c r="C139" s="15" t="s">
        <v>13</v>
      </c>
      <c r="D139" s="19" t="s">
        <v>409</v>
      </c>
      <c r="E139" s="3">
        <f>3*450</f>
        <v>1350</v>
      </c>
      <c r="F139" s="3">
        <v>0</v>
      </c>
      <c r="G139" s="3">
        <f t="shared" si="67"/>
        <v>1350</v>
      </c>
      <c r="H139" s="4" t="s">
        <v>15</v>
      </c>
      <c r="Q139">
        <f t="shared" si="68"/>
        <v>2023</v>
      </c>
      <c r="R139">
        <f t="shared" si="69"/>
        <v>12</v>
      </c>
    </row>
    <row r="140">
      <c r="A140" s="20">
        <v>45282</v>
      </c>
      <c r="B140" s="1" t="s">
        <v>107</v>
      </c>
      <c r="C140" s="15" t="s">
        <v>17</v>
      </c>
      <c r="D140" s="19" t="s">
        <v>410</v>
      </c>
      <c r="E140" s="3">
        <f>2*600</f>
        <v>1200</v>
      </c>
      <c r="F140" s="3">
        <f t="shared" si="66"/>
        <v>240</v>
      </c>
      <c r="G140" s="3">
        <f t="shared" si="67"/>
        <v>1440</v>
      </c>
      <c r="H140" s="4" t="s">
        <v>15</v>
      </c>
      <c r="Q140">
        <f t="shared" si="68"/>
        <v>2023</v>
      </c>
      <c r="R140">
        <f t="shared" si="69"/>
        <v>12</v>
      </c>
    </row>
    <row r="141">
      <c r="A141" s="20">
        <v>45282</v>
      </c>
      <c r="B141" s="1" t="s">
        <v>107</v>
      </c>
      <c r="C141" s="15" t="s">
        <v>17</v>
      </c>
      <c r="D141" s="19" t="s">
        <v>411</v>
      </c>
      <c r="E141" s="3">
        <f>1*600</f>
        <v>600</v>
      </c>
      <c r="F141" s="3">
        <f t="shared" si="66"/>
        <v>120</v>
      </c>
      <c r="G141" s="3">
        <f t="shared" si="67"/>
        <v>720</v>
      </c>
      <c r="H141" s="4" t="s">
        <v>15</v>
      </c>
      <c r="Q141">
        <f t="shared" si="68"/>
        <v>2023</v>
      </c>
      <c r="R141">
        <f t="shared" si="69"/>
        <v>12</v>
      </c>
    </row>
    <row r="142">
      <c r="A142" s="20">
        <v>45291</v>
      </c>
      <c r="B142" s="1" t="s">
        <v>151</v>
      </c>
      <c r="C142" s="15" t="s">
        <v>13</v>
      </c>
      <c r="E142" s="3">
        <v>63.630000000000003</v>
      </c>
      <c r="F142" s="3">
        <f t="shared" si="66"/>
        <v>12.726000000000001</v>
      </c>
      <c r="G142" s="3">
        <f t="shared" si="67"/>
        <v>76.356000000000009</v>
      </c>
      <c r="H142" s="4" t="s">
        <v>15</v>
      </c>
      <c r="Q142">
        <f t="shared" si="68"/>
        <v>2023</v>
      </c>
      <c r="R142">
        <f t="shared" si="69"/>
        <v>12</v>
      </c>
    </row>
    <row r="143">
      <c r="A143" s="20">
        <v>45291</v>
      </c>
      <c r="B143" s="1" t="s">
        <v>151</v>
      </c>
      <c r="C143" s="15" t="s">
        <v>13</v>
      </c>
      <c r="E143" s="3">
        <v>37.5</v>
      </c>
      <c r="F143" s="3">
        <f t="shared" si="66"/>
        <v>7.5</v>
      </c>
      <c r="G143" s="3">
        <f t="shared" si="67"/>
        <v>45</v>
      </c>
      <c r="H143" s="4" t="s">
        <v>15</v>
      </c>
      <c r="Q143">
        <f t="shared" si="68"/>
        <v>2023</v>
      </c>
      <c r="R143">
        <f t="shared" si="69"/>
        <v>12</v>
      </c>
    </row>
    <row r="144">
      <c r="A144" s="20">
        <v>45291</v>
      </c>
      <c r="B144" s="1" t="s">
        <v>151</v>
      </c>
      <c r="C144" s="15" t="s">
        <v>13</v>
      </c>
      <c r="E144" s="3">
        <v>1800</v>
      </c>
      <c r="F144" s="3">
        <f t="shared" si="66"/>
        <v>360</v>
      </c>
      <c r="G144" s="3">
        <f t="shared" si="67"/>
        <v>2160</v>
      </c>
      <c r="H144" s="4" t="s">
        <v>15</v>
      </c>
      <c r="Q144">
        <f t="shared" si="68"/>
        <v>2023</v>
      </c>
      <c r="R144">
        <f t="shared" si="69"/>
        <v>12</v>
      </c>
    </row>
    <row r="145">
      <c r="A145" s="20">
        <v>45291</v>
      </c>
      <c r="B145" s="1" t="s">
        <v>151</v>
      </c>
      <c r="C145" s="15" t="s">
        <v>13</v>
      </c>
      <c r="E145" s="3">
        <v>5400</v>
      </c>
      <c r="F145" s="3">
        <f t="shared" si="66"/>
        <v>1080</v>
      </c>
      <c r="G145" s="3">
        <f t="shared" si="67"/>
        <v>6480</v>
      </c>
      <c r="H145" s="4" t="s">
        <v>15</v>
      </c>
      <c r="Q145">
        <f t="shared" si="68"/>
        <v>2023</v>
      </c>
      <c r="R145">
        <f t="shared" si="69"/>
        <v>12</v>
      </c>
    </row>
    <row r="146">
      <c r="A146" s="20">
        <v>45291</v>
      </c>
      <c r="B146" s="1" t="s">
        <v>151</v>
      </c>
      <c r="C146" s="15" t="s">
        <v>13</v>
      </c>
      <c r="E146" s="3">
        <v>5625</v>
      </c>
      <c r="F146" s="3">
        <f t="shared" si="66"/>
        <v>1125</v>
      </c>
      <c r="G146" s="3">
        <f t="shared" si="67"/>
        <v>6750</v>
      </c>
      <c r="H146" s="4" t="s">
        <v>15</v>
      </c>
      <c r="Q146">
        <f t="shared" si="68"/>
        <v>2023</v>
      </c>
      <c r="R146">
        <f t="shared" si="69"/>
        <v>12</v>
      </c>
    </row>
    <row r="147">
      <c r="A147" s="20">
        <v>45291</v>
      </c>
      <c r="B147" s="1" t="s">
        <v>151</v>
      </c>
      <c r="C147" s="15" t="s">
        <v>13</v>
      </c>
      <c r="E147" s="3">
        <v>6750</v>
      </c>
      <c r="F147" s="3">
        <f t="shared" si="66"/>
        <v>1350</v>
      </c>
      <c r="G147" s="3">
        <f t="shared" si="67"/>
        <v>8100</v>
      </c>
      <c r="H147" s="4" t="s">
        <v>15</v>
      </c>
      <c r="Q147">
        <f t="shared" si="68"/>
        <v>2023</v>
      </c>
      <c r="R147">
        <f t="shared" si="69"/>
        <v>12</v>
      </c>
    </row>
    <row r="148">
      <c r="A148" s="20">
        <v>45291</v>
      </c>
      <c r="B148" s="1" t="s">
        <v>151</v>
      </c>
      <c r="C148" s="15" t="s">
        <v>13</v>
      </c>
      <c r="E148" s="3">
        <v>6975</v>
      </c>
      <c r="F148" s="3">
        <f t="shared" si="66"/>
        <v>1395</v>
      </c>
      <c r="G148" s="3">
        <f t="shared" si="67"/>
        <v>8370</v>
      </c>
      <c r="H148" s="4" t="s">
        <v>15</v>
      </c>
      <c r="Q148">
        <f t="shared" si="68"/>
        <v>2023</v>
      </c>
      <c r="R148">
        <f t="shared" si="69"/>
        <v>12</v>
      </c>
    </row>
    <row r="149">
      <c r="A149" s="20">
        <v>45291</v>
      </c>
      <c r="B149" s="1" t="s">
        <v>151</v>
      </c>
      <c r="C149" s="15" t="s">
        <v>13</v>
      </c>
      <c r="E149" s="3">
        <v>-6626.25</v>
      </c>
      <c r="F149" s="3">
        <f t="shared" si="66"/>
        <v>-1325.25</v>
      </c>
      <c r="G149" s="3">
        <f t="shared" si="67"/>
        <v>-7951.5</v>
      </c>
      <c r="H149" s="4" t="s">
        <v>15</v>
      </c>
      <c r="I149">
        <v>224101.45999999999</v>
      </c>
      <c r="Q149">
        <f t="shared" si="68"/>
        <v>2023</v>
      </c>
      <c r="R149">
        <f t="shared" si="69"/>
        <v>12</v>
      </c>
    </row>
    <row r="150">
      <c r="A150" s="20">
        <v>45291</v>
      </c>
      <c r="B150" s="1" t="s">
        <v>151</v>
      </c>
      <c r="C150" s="15" t="s">
        <v>13</v>
      </c>
      <c r="E150" s="3">
        <v>-6412.5</v>
      </c>
      <c r="F150" s="3">
        <f t="shared" si="66"/>
        <v>-1282.5</v>
      </c>
      <c r="G150" s="3">
        <f t="shared" si="67"/>
        <v>-7695</v>
      </c>
      <c r="H150" s="4" t="s">
        <v>15</v>
      </c>
      <c r="I150">
        <v>63.630000000000003</v>
      </c>
      <c r="Q150">
        <f t="shared" si="68"/>
        <v>2023</v>
      </c>
      <c r="R150">
        <f t="shared" si="69"/>
        <v>12</v>
      </c>
    </row>
    <row r="151">
      <c r="A151" s="20">
        <v>45291</v>
      </c>
      <c r="B151" s="1" t="s">
        <v>151</v>
      </c>
      <c r="C151" s="15" t="s">
        <v>13</v>
      </c>
      <c r="E151" s="3">
        <v>-550</v>
      </c>
      <c r="F151" s="3">
        <f t="shared" si="66"/>
        <v>-110</v>
      </c>
      <c r="G151" s="3">
        <f t="shared" si="67"/>
        <v>-660</v>
      </c>
      <c r="H151" s="4" t="s">
        <v>15</v>
      </c>
      <c r="Q151">
        <f t="shared" si="68"/>
        <v>2023</v>
      </c>
      <c r="R151">
        <f t="shared" si="69"/>
        <v>12</v>
      </c>
    </row>
    <row r="152">
      <c r="A152" s="20">
        <v>45291</v>
      </c>
      <c r="B152" s="1" t="s">
        <v>151</v>
      </c>
      <c r="C152" s="15" t="s">
        <v>13</v>
      </c>
      <c r="E152" s="3">
        <v>-5343.75</v>
      </c>
      <c r="F152" s="3">
        <f t="shared" si="66"/>
        <v>-1068.75</v>
      </c>
      <c r="G152" s="3">
        <f t="shared" si="67"/>
        <v>-6412.5</v>
      </c>
      <c r="H152" s="4" t="s">
        <v>15</v>
      </c>
      <c r="Q152">
        <f t="shared" si="68"/>
        <v>2023</v>
      </c>
      <c r="R152">
        <f t="shared" si="69"/>
        <v>12</v>
      </c>
    </row>
    <row r="153">
      <c r="A153" s="20">
        <v>45291</v>
      </c>
      <c r="B153" s="1" t="s">
        <v>151</v>
      </c>
      <c r="C153" s="15" t="s">
        <v>13</v>
      </c>
      <c r="E153" s="3">
        <v>-5130</v>
      </c>
      <c r="F153" s="3">
        <f t="shared" si="66"/>
        <v>-1026</v>
      </c>
      <c r="G153" s="3">
        <f t="shared" si="67"/>
        <v>-6156</v>
      </c>
      <c r="H153" s="4" t="s">
        <v>15</v>
      </c>
      <c r="Q153">
        <f t="shared" si="68"/>
        <v>2023</v>
      </c>
      <c r="R153">
        <f t="shared" si="69"/>
        <v>12</v>
      </c>
    </row>
    <row r="154">
      <c r="A154" s="20">
        <v>45291</v>
      </c>
      <c r="B154" s="1" t="s">
        <v>151</v>
      </c>
      <c r="C154" s="15" t="s">
        <v>13</v>
      </c>
      <c r="E154" s="3">
        <v>-1710</v>
      </c>
      <c r="F154" s="3">
        <f t="shared" si="66"/>
        <v>-342</v>
      </c>
      <c r="G154" s="3">
        <f t="shared" si="67"/>
        <v>-2052</v>
      </c>
      <c r="H154" s="4" t="s">
        <v>15</v>
      </c>
      <c r="Q154">
        <f t="shared" si="68"/>
        <v>2023</v>
      </c>
      <c r="R154">
        <f t="shared" si="69"/>
        <v>12</v>
      </c>
    </row>
    <row r="155">
      <c r="Q155">
        <f t="shared" si="68"/>
        <v>1900</v>
      </c>
      <c r="R155">
        <f t="shared" si="69"/>
        <v>1</v>
      </c>
    </row>
    <row r="156">
      <c r="Q156">
        <f t="shared" si="68"/>
        <v>1900</v>
      </c>
      <c r="R156">
        <f t="shared" si="69"/>
        <v>1</v>
      </c>
    </row>
    <row r="157">
      <c r="Q157">
        <f t="shared" si="68"/>
        <v>1900</v>
      </c>
      <c r="R157">
        <f t="shared" si="69"/>
        <v>1</v>
      </c>
    </row>
    <row r="158">
      <c r="Q158">
        <f t="shared" si="68"/>
        <v>1900</v>
      </c>
      <c r="R158">
        <f t="shared" si="69"/>
        <v>1</v>
      </c>
    </row>
    <row r="159">
      <c r="Q159">
        <f t="shared" si="68"/>
        <v>1900</v>
      </c>
      <c r="R159">
        <f t="shared" si="69"/>
        <v>1</v>
      </c>
    </row>
    <row r="160">
      <c r="Q160">
        <f t="shared" si="68"/>
        <v>1900</v>
      </c>
      <c r="R160">
        <f t="shared" si="69"/>
        <v>1</v>
      </c>
    </row>
    <row r="161">
      <c r="Q161">
        <f t="shared" si="68"/>
        <v>1900</v>
      </c>
      <c r="R161">
        <f t="shared" si="69"/>
        <v>1</v>
      </c>
    </row>
    <row r="162">
      <c r="Q162">
        <f t="shared" si="68"/>
        <v>1900</v>
      </c>
      <c r="R162">
        <f t="shared" si="69"/>
        <v>1</v>
      </c>
    </row>
    <row r="163">
      <c r="Q163">
        <f t="shared" si="68"/>
        <v>1900</v>
      </c>
      <c r="R163">
        <f t="shared" si="69"/>
        <v>1</v>
      </c>
    </row>
    <row r="164">
      <c r="Q164">
        <f t="shared" ref="Q164:Q198" si="70">YEAR(A164)</f>
        <v>1900</v>
      </c>
      <c r="R164">
        <f t="shared" ref="R164:R198" si="71">MONTH(A164)</f>
        <v>1</v>
      </c>
    </row>
    <row r="165">
      <c r="Q165">
        <f t="shared" si="70"/>
        <v>1900</v>
      </c>
      <c r="R165">
        <f t="shared" si="71"/>
        <v>1</v>
      </c>
    </row>
    <row r="166">
      <c r="Q166">
        <f t="shared" si="70"/>
        <v>1900</v>
      </c>
      <c r="R166">
        <f t="shared" si="71"/>
        <v>1</v>
      </c>
    </row>
    <row r="167">
      <c r="Q167">
        <f t="shared" si="70"/>
        <v>1900</v>
      </c>
      <c r="R167">
        <f t="shared" si="71"/>
        <v>1</v>
      </c>
    </row>
    <row r="168">
      <c r="Q168">
        <f t="shared" si="70"/>
        <v>1900</v>
      </c>
      <c r="R168">
        <f t="shared" si="71"/>
        <v>1</v>
      </c>
    </row>
    <row r="169">
      <c r="Q169">
        <f t="shared" si="70"/>
        <v>1900</v>
      </c>
      <c r="R169">
        <f t="shared" si="71"/>
        <v>1</v>
      </c>
    </row>
    <row r="170">
      <c r="Q170">
        <f t="shared" si="70"/>
        <v>1900</v>
      </c>
      <c r="R170">
        <f t="shared" si="71"/>
        <v>1</v>
      </c>
    </row>
    <row r="171">
      <c r="Q171">
        <f t="shared" si="70"/>
        <v>1900</v>
      </c>
      <c r="R171">
        <f t="shared" si="71"/>
        <v>1</v>
      </c>
    </row>
    <row r="172">
      <c r="Q172">
        <f t="shared" si="70"/>
        <v>1900</v>
      </c>
      <c r="R172">
        <f t="shared" si="71"/>
        <v>1</v>
      </c>
    </row>
    <row r="173">
      <c r="Q173">
        <f t="shared" si="70"/>
        <v>1900</v>
      </c>
      <c r="R173">
        <f t="shared" si="71"/>
        <v>1</v>
      </c>
    </row>
    <row r="174">
      <c r="Q174">
        <f t="shared" si="70"/>
        <v>1900</v>
      </c>
      <c r="R174">
        <f t="shared" si="71"/>
        <v>1</v>
      </c>
    </row>
    <row r="175">
      <c r="Q175">
        <f t="shared" si="70"/>
        <v>1900</v>
      </c>
      <c r="R175">
        <f t="shared" si="71"/>
        <v>1</v>
      </c>
    </row>
    <row r="176">
      <c r="Q176">
        <f t="shared" si="70"/>
        <v>1900</v>
      </c>
      <c r="R176">
        <f t="shared" si="71"/>
        <v>1</v>
      </c>
    </row>
    <row r="177">
      <c r="Q177">
        <f t="shared" si="70"/>
        <v>1900</v>
      </c>
      <c r="R177">
        <f t="shared" si="71"/>
        <v>1</v>
      </c>
    </row>
    <row r="178">
      <c r="Q178">
        <f t="shared" si="70"/>
        <v>1900</v>
      </c>
      <c r="R178">
        <f t="shared" si="71"/>
        <v>1</v>
      </c>
    </row>
    <row r="179">
      <c r="Q179">
        <f t="shared" si="70"/>
        <v>1900</v>
      </c>
      <c r="R179">
        <f t="shared" si="71"/>
        <v>1</v>
      </c>
    </row>
    <row r="180">
      <c r="Q180">
        <f t="shared" si="70"/>
        <v>1900</v>
      </c>
      <c r="R180">
        <f t="shared" si="71"/>
        <v>1</v>
      </c>
    </row>
    <row r="181">
      <c r="Q181">
        <f t="shared" si="70"/>
        <v>1900</v>
      </c>
      <c r="R181">
        <f t="shared" si="71"/>
        <v>1</v>
      </c>
    </row>
    <row r="182">
      <c r="Q182">
        <f t="shared" si="70"/>
        <v>1900</v>
      </c>
      <c r="R182">
        <f t="shared" si="71"/>
        <v>1</v>
      </c>
    </row>
    <row r="183">
      <c r="Q183">
        <f t="shared" si="70"/>
        <v>1900</v>
      </c>
      <c r="R183">
        <f t="shared" si="71"/>
        <v>1</v>
      </c>
    </row>
    <row r="184">
      <c r="Q184">
        <f t="shared" si="70"/>
        <v>1900</v>
      </c>
      <c r="R184">
        <f t="shared" si="71"/>
        <v>1</v>
      </c>
    </row>
    <row r="185">
      <c r="Q185">
        <f t="shared" si="70"/>
        <v>1900</v>
      </c>
      <c r="R185">
        <f t="shared" si="71"/>
        <v>1</v>
      </c>
    </row>
    <row r="186">
      <c r="Q186">
        <f t="shared" si="70"/>
        <v>1900</v>
      </c>
      <c r="R186">
        <f t="shared" si="71"/>
        <v>1</v>
      </c>
    </row>
    <row r="187">
      <c r="Q187">
        <f t="shared" si="70"/>
        <v>1900</v>
      </c>
      <c r="R187">
        <f t="shared" si="71"/>
        <v>1</v>
      </c>
    </row>
    <row r="188">
      <c r="Q188">
        <f t="shared" si="70"/>
        <v>1900</v>
      </c>
      <c r="R188">
        <f t="shared" si="71"/>
        <v>1</v>
      </c>
    </row>
    <row r="189">
      <c r="Q189">
        <f t="shared" si="70"/>
        <v>1900</v>
      </c>
      <c r="R189">
        <f t="shared" si="71"/>
        <v>1</v>
      </c>
    </row>
    <row r="190">
      <c r="Q190">
        <f t="shared" si="70"/>
        <v>1900</v>
      </c>
      <c r="R190">
        <f t="shared" si="71"/>
        <v>1</v>
      </c>
    </row>
    <row r="191">
      <c r="Q191">
        <f t="shared" si="70"/>
        <v>1900</v>
      </c>
      <c r="R191">
        <f t="shared" si="71"/>
        <v>1</v>
      </c>
    </row>
    <row r="192">
      <c r="Q192">
        <f t="shared" si="70"/>
        <v>1900</v>
      </c>
      <c r="R192">
        <f t="shared" si="71"/>
        <v>1</v>
      </c>
    </row>
    <row r="193">
      <c r="Q193">
        <f t="shared" si="70"/>
        <v>1900</v>
      </c>
      <c r="R193">
        <f t="shared" si="71"/>
        <v>1</v>
      </c>
    </row>
    <row r="194">
      <c r="Q194">
        <f t="shared" si="70"/>
        <v>1900</v>
      </c>
      <c r="R194">
        <f t="shared" si="71"/>
        <v>1</v>
      </c>
    </row>
    <row r="195">
      <c r="Q195">
        <f t="shared" si="70"/>
        <v>1900</v>
      </c>
      <c r="R195">
        <f t="shared" si="71"/>
        <v>1</v>
      </c>
    </row>
    <row r="196">
      <c r="Q196">
        <f t="shared" si="70"/>
        <v>1900</v>
      </c>
      <c r="R196">
        <f t="shared" si="71"/>
        <v>1</v>
      </c>
    </row>
    <row r="197">
      <c r="Q197">
        <f t="shared" si="70"/>
        <v>1900</v>
      </c>
      <c r="R197">
        <f t="shared" si="71"/>
        <v>1</v>
      </c>
    </row>
    <row r="198">
      <c r="Q198">
        <f t="shared" si="70"/>
        <v>1900</v>
      </c>
      <c r="R198">
        <f t="shared" si="71"/>
        <v>1</v>
      </c>
    </row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>
      <c r="Q329">
        <f t="shared" ref="Q329:Q330" si="72">YEAR(A131)</f>
        <v>2023</v>
      </c>
      <c r="R329">
        <f t="shared" ref="R329:R330" si="73">MONTH(A131)</f>
        <v>11</v>
      </c>
    </row>
    <row r="330">
      <c r="G330" s="3">
        <v>792</v>
      </c>
      <c r="J330" t="s">
        <v>412</v>
      </c>
      <c r="Q330">
        <f t="shared" si="72"/>
        <v>2023</v>
      </c>
      <c r="R330">
        <f t="shared" si="73"/>
        <v>12</v>
      </c>
    </row>
    <row r="331">
      <c r="G331" s="3">
        <v>1416</v>
      </c>
      <c r="I331" t="s">
        <v>378</v>
      </c>
      <c r="J331" t="s">
        <v>412</v>
      </c>
      <c r="Q331">
        <f t="shared" ref="Q331:Q357" si="74">YEAR(A331)</f>
        <v>1900</v>
      </c>
      <c r="R331">
        <f t="shared" ref="R331:R345" si="75">MONTH(A331)</f>
        <v>1</v>
      </c>
    </row>
    <row r="332">
      <c r="G332" s="3">
        <v>1116</v>
      </c>
      <c r="J332" t="s">
        <v>412</v>
      </c>
      <c r="Q332">
        <f t="shared" si="74"/>
        <v>1900</v>
      </c>
      <c r="R332">
        <f t="shared" si="75"/>
        <v>1</v>
      </c>
    </row>
    <row r="333">
      <c r="Q333">
        <f t="shared" si="74"/>
        <v>1900</v>
      </c>
      <c r="R333">
        <f t="shared" si="75"/>
        <v>1</v>
      </c>
    </row>
    <row r="334">
      <c r="Q334">
        <f t="shared" si="74"/>
        <v>1900</v>
      </c>
      <c r="R334">
        <f t="shared" si="75"/>
        <v>1</v>
      </c>
    </row>
    <row r="335">
      <c r="Q335">
        <f t="shared" si="74"/>
        <v>1900</v>
      </c>
      <c r="R335">
        <f t="shared" si="75"/>
        <v>1</v>
      </c>
    </row>
    <row r="336">
      <c r="Q336">
        <f t="shared" si="74"/>
        <v>1900</v>
      </c>
      <c r="R336">
        <f t="shared" si="75"/>
        <v>1</v>
      </c>
    </row>
    <row r="337">
      <c r="Q337">
        <f t="shared" si="74"/>
        <v>1900</v>
      </c>
      <c r="R337">
        <f t="shared" si="75"/>
        <v>1</v>
      </c>
    </row>
    <row r="338">
      <c r="Q338">
        <f t="shared" si="74"/>
        <v>1900</v>
      </c>
      <c r="R338">
        <f t="shared" si="75"/>
        <v>1</v>
      </c>
    </row>
    <row r="339">
      <c r="Q339">
        <f t="shared" si="74"/>
        <v>1900</v>
      </c>
      <c r="R339">
        <f t="shared" si="75"/>
        <v>1</v>
      </c>
    </row>
    <row r="340">
      <c r="Q340">
        <f t="shared" si="74"/>
        <v>1900</v>
      </c>
      <c r="R340">
        <f t="shared" si="75"/>
        <v>1</v>
      </c>
    </row>
    <row r="341">
      <c r="Q341">
        <f t="shared" si="74"/>
        <v>1900</v>
      </c>
      <c r="R341">
        <f t="shared" si="75"/>
        <v>1</v>
      </c>
    </row>
    <row r="342">
      <c r="Q342">
        <f t="shared" si="74"/>
        <v>1900</v>
      </c>
      <c r="R342">
        <f t="shared" si="75"/>
        <v>1</v>
      </c>
    </row>
    <row r="343">
      <c r="Q343">
        <f t="shared" si="74"/>
        <v>1900</v>
      </c>
      <c r="R343">
        <f t="shared" si="75"/>
        <v>1</v>
      </c>
    </row>
    <row r="344">
      <c r="Q344">
        <f t="shared" si="74"/>
        <v>1900</v>
      </c>
      <c r="R344">
        <f t="shared" si="75"/>
        <v>1</v>
      </c>
    </row>
    <row r="345">
      <c r="Q345">
        <f t="shared" si="74"/>
        <v>1900</v>
      </c>
      <c r="R345">
        <f t="shared" si="75"/>
        <v>1</v>
      </c>
    </row>
    <row r="346">
      <c r="Q346">
        <f t="shared" si="74"/>
        <v>1900</v>
      </c>
    </row>
    <row r="347">
      <c r="Q347">
        <f t="shared" si="74"/>
        <v>1900</v>
      </c>
    </row>
    <row r="348">
      <c r="Q348">
        <f t="shared" si="74"/>
        <v>1900</v>
      </c>
    </row>
    <row r="349">
      <c r="Q349">
        <f t="shared" si="74"/>
        <v>1900</v>
      </c>
    </row>
    <row r="350">
      <c r="Q350">
        <f t="shared" si="74"/>
        <v>1900</v>
      </c>
    </row>
    <row r="351">
      <c r="Q351">
        <f t="shared" si="74"/>
        <v>1900</v>
      </c>
    </row>
    <row r="352">
      <c r="Q352">
        <f t="shared" si="74"/>
        <v>1900</v>
      </c>
    </row>
    <row r="353">
      <c r="Q353">
        <f t="shared" si="74"/>
        <v>1900</v>
      </c>
    </row>
    <row r="354">
      <c r="Q354">
        <f t="shared" si="74"/>
        <v>1900</v>
      </c>
    </row>
    <row r="355">
      <c r="Q355">
        <f t="shared" si="74"/>
        <v>1900</v>
      </c>
    </row>
    <row r="356">
      <c r="Q356">
        <f t="shared" si="74"/>
        <v>1900</v>
      </c>
    </row>
    <row r="357">
      <c r="Q357">
        <f t="shared" si="74"/>
        <v>1900</v>
      </c>
    </row>
  </sheetData>
  <autoFilter ref="A1:H332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46" operator="containsText" text="obj" id="{004A00A6-000A-4888-BEC7-003A00B10089}">
            <xm:f>NOT(ISERROR(SEARCH("obj",H1)))</xm:f>
            <x14:dxf>
              <font>
                <color theme="5" tint="-0.249977111117893"/>
              </font>
              <fill>
                <patternFill patternType="solid">
                  <fgColor rgb="FFF7CAAC"/>
                  <bgColor rgb="FFF7CAAC"/>
                </patternFill>
              </fill>
            </x14:dxf>
          </x14:cfRule>
          <xm:sqref>H135</xm:sqref>
        </x14:conditionalFormatting>
        <x14:conditionalFormatting xmlns:xm="http://schemas.microsoft.com/office/excel/2006/main">
          <x14:cfRule type="containsText" priority="643" operator="containsText" text="non" id="{0024006C-00FC-461A-ABB8-002B00A9006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H140</xm:sqref>
        </x14:conditionalFormatting>
        <x14:conditionalFormatting xmlns:xm="http://schemas.microsoft.com/office/excel/2006/main">
          <x14:cfRule type="containsText" priority="640" operator="containsText" text="non" id="{00970012-0062-47A5-A8A1-0097006800F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H141</xm:sqref>
        </x14:conditionalFormatting>
        <x14:conditionalFormatting xmlns:xm="http://schemas.microsoft.com/office/excel/2006/main">
          <x14:cfRule type="containsText" priority="637" operator="containsText" text="non" id="{009E00AF-00EC-4215-A42A-00CE00A500F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H126</xm:sqref>
        </x14:conditionalFormatting>
        <x14:conditionalFormatting xmlns:xm="http://schemas.microsoft.com/office/excel/2006/main">
          <x14:cfRule type="containsText" priority="634" operator="containsText" text="non" id="{00610070-0057-47F3-90DB-00B100E9009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H123</xm:sqref>
        </x14:conditionalFormatting>
        <x14:conditionalFormatting xmlns:xm="http://schemas.microsoft.com/office/excel/2006/main">
          <x14:cfRule type="containsText" priority="631" operator="containsText" text="non" id="{0093003F-00FE-4D97-9E0E-0092009B000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H138</xm:sqref>
        </x14:conditionalFormatting>
        <x14:conditionalFormatting xmlns:xm="http://schemas.microsoft.com/office/excel/2006/main">
          <x14:cfRule type="containsText" priority="628" operator="containsText" text="non" id="{003600A3-009B-4638-8767-008900D6006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H127</xm:sqref>
        </x14:conditionalFormatting>
        <x14:conditionalFormatting xmlns:xm="http://schemas.microsoft.com/office/excel/2006/main">
          <x14:cfRule type="containsText" priority="625" operator="containsText" text="non" id="{00FC00F4-0088-415E-8D58-00D90072004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H137</xm:sqref>
        </x14:conditionalFormatting>
        <x14:conditionalFormatting xmlns:xm="http://schemas.microsoft.com/office/excel/2006/main">
          <x14:cfRule type="containsText" priority="622" operator="containsText" text="non" id="{00FD00C6-0093-4AFD-B4B7-002200A5007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H139</xm:sqref>
        </x14:conditionalFormatting>
        <x14:conditionalFormatting xmlns:xm="http://schemas.microsoft.com/office/excel/2006/main">
          <x14:cfRule type="containsText" priority="619" operator="containsText" text="non" id="{00BD0059-0058-4A56-A73E-00180058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H136</xm:sqref>
        </x14:conditionalFormatting>
        <x14:conditionalFormatting xmlns:xm="http://schemas.microsoft.com/office/excel/2006/main">
          <x14:cfRule type="containsText" priority="616" operator="containsText" text="non" id="{00BF009D-006C-457E-B4D7-00C900E2002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H130</xm:sqref>
        </x14:conditionalFormatting>
        <x14:conditionalFormatting xmlns:xm="http://schemas.microsoft.com/office/excel/2006/main">
          <x14:cfRule type="containsText" priority="613" operator="containsText" text="non" id="{00710039-0009-40FF-9448-0015007700D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H133</xm:sqref>
        </x14:conditionalFormatting>
        <x14:conditionalFormatting xmlns:xm="http://schemas.microsoft.com/office/excel/2006/main">
          <x14:cfRule type="containsText" priority="610" operator="containsText" text="non" id="{001D00A9-009D-44EF-8E1B-00D7005C00A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H132</xm:sqref>
        </x14:conditionalFormatting>
        <x14:conditionalFormatting xmlns:xm="http://schemas.microsoft.com/office/excel/2006/main">
          <x14:cfRule type="containsText" priority="607" operator="containsText" text="non" id="{00480009-003C-491A-9283-00E300C200F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H128</xm:sqref>
        </x14:conditionalFormatting>
        <x14:conditionalFormatting xmlns:xm="http://schemas.microsoft.com/office/excel/2006/main">
          <x14:cfRule type="containsText" priority="604" operator="containsText" text="non" id="{001D005C-004D-463F-A3DF-00AF00D2001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H125</xm:sqref>
        </x14:conditionalFormatting>
        <x14:conditionalFormatting xmlns:xm="http://schemas.microsoft.com/office/excel/2006/main">
          <x14:cfRule type="containsText" priority="603" operator="containsText" text="non" id="{00290035-0094-437A-92F1-005A007100C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H134</xm:sqref>
        </x14:conditionalFormatting>
        <x14:conditionalFormatting xmlns:xm="http://schemas.microsoft.com/office/excel/2006/main">
          <x14:cfRule type="containsText" priority="600" operator="containsText" text="non" id="{009F00FC-007F-4CA9-81A6-00D5000C00F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H120</xm:sqref>
        </x14:conditionalFormatting>
        <x14:conditionalFormatting xmlns:xm="http://schemas.microsoft.com/office/excel/2006/main">
          <x14:cfRule type="containsText" priority="597" operator="containsText" text="non" id="{003B00A3-00F5-4A1C-881C-00EC00E0004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H119</xm:sqref>
        </x14:conditionalFormatting>
        <x14:conditionalFormatting xmlns:xm="http://schemas.microsoft.com/office/excel/2006/main">
          <x14:cfRule type="containsText" priority="594" operator="containsText" text="non" id="{00640024-0034-44A0-A46C-00D8005300C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H122</xm:sqref>
        </x14:conditionalFormatting>
        <x14:conditionalFormatting xmlns:xm="http://schemas.microsoft.com/office/excel/2006/main">
          <x14:cfRule type="containsText" priority="591" operator="containsText" text="non" id="{00030049-005C-4E13-996E-0027007F00A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H124</xm:sqref>
        </x14:conditionalFormatting>
        <x14:conditionalFormatting xmlns:xm="http://schemas.microsoft.com/office/excel/2006/main">
          <x14:cfRule type="containsText" priority="588" operator="containsText" text="non" id="{00DF00B1-00DE-4E9E-B9F4-00E2001F006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H129</xm:sqref>
        </x14:conditionalFormatting>
        <x14:conditionalFormatting xmlns:xm="http://schemas.microsoft.com/office/excel/2006/main">
          <x14:cfRule type="containsText" priority="587" operator="containsText" text="non" id="{005B0016-00DD-4B93-A9F6-003A009D00B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H115</xm:sqref>
        </x14:conditionalFormatting>
        <x14:conditionalFormatting xmlns:xm="http://schemas.microsoft.com/office/excel/2006/main">
          <x14:cfRule type="containsText" priority="586" operator="containsText" text="non" id="{00C90034-0086-4723-8F63-006200EF003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H114</xm:sqref>
        </x14:conditionalFormatting>
        <x14:conditionalFormatting xmlns:xm="http://schemas.microsoft.com/office/excel/2006/main">
          <x14:cfRule type="containsText" priority="585" operator="containsText" text="non" id="{0021001B-0032-4AB8-ABF6-00E9005C000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H113</xm:sqref>
        </x14:conditionalFormatting>
        <x14:conditionalFormatting xmlns:xm="http://schemas.microsoft.com/office/excel/2006/main">
          <x14:cfRule type="containsText" priority="582" operator="containsText" text="non" id="{009A00CE-00E4-44DC-9DB2-003300FD005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H118</xm:sqref>
        </x14:conditionalFormatting>
        <x14:conditionalFormatting xmlns:xm="http://schemas.microsoft.com/office/excel/2006/main">
          <x14:cfRule type="containsText" priority="579" operator="containsText" text="non" id="{00160070-008C-45E6-B587-00750008008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H116</xm:sqref>
        </x14:conditionalFormatting>
        <x14:conditionalFormatting xmlns:xm="http://schemas.microsoft.com/office/excel/2006/main">
          <x14:cfRule type="containsText" priority="577" operator="containsText" text="non" id="{005E0067-001B-4058-A611-00E700D2007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H117</xm:sqref>
        </x14:conditionalFormatting>
        <x14:conditionalFormatting xmlns:xm="http://schemas.microsoft.com/office/excel/2006/main">
          <x14:cfRule type="containsText" priority="576" operator="containsText" text="non" id="{00D40051-0092-4083-84AB-00760050007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H112</xm:sqref>
        </x14:conditionalFormatting>
        <x14:conditionalFormatting xmlns:xm="http://schemas.microsoft.com/office/excel/2006/main">
          <x14:cfRule type="containsText" priority="575" operator="containsText" text="non" id="{00EA0006-0092-4068-BEA7-00C40084008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H111</xm:sqref>
        </x14:conditionalFormatting>
        <x14:conditionalFormatting xmlns:xm="http://schemas.microsoft.com/office/excel/2006/main">
          <x14:cfRule type="containsText" priority="573" operator="containsText" text="non" id="{00820097-006F-4E07-A67C-00FF007B009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H109</xm:sqref>
        </x14:conditionalFormatting>
        <x14:conditionalFormatting xmlns:xm="http://schemas.microsoft.com/office/excel/2006/main">
          <x14:cfRule type="containsText" priority="572" operator="containsText" text="non" id="{001100F8-0088-4B9A-9BE5-0021007E004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H110</xm:sqref>
        </x14:conditionalFormatting>
        <x14:conditionalFormatting xmlns:xm="http://schemas.microsoft.com/office/excel/2006/main">
          <x14:cfRule type="containsText" priority="570" operator="containsText" text="non" id="{00900030-0092-4E00-B326-0041006E00D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H105</xm:sqref>
        </x14:conditionalFormatting>
        <x14:conditionalFormatting xmlns:xm="http://schemas.microsoft.com/office/excel/2006/main">
          <x14:cfRule type="containsText" priority="569" operator="containsText" text="non" id="{00220069-0001-4987-A867-00FB00F4001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H106</xm:sqref>
        </x14:conditionalFormatting>
        <x14:conditionalFormatting xmlns:xm="http://schemas.microsoft.com/office/excel/2006/main">
          <x14:cfRule type="containsText" priority="567" operator="containsText" text="non" id="{001A0007-003A-4AD8-8625-00A30069007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565" operator="containsText" text="non" id="{00890064-00AC-4CB0-AC89-00B4002800B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563" operator="containsText" text="non" id="{004F00AB-0016-4438-AB4A-00E500A6001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561" operator="containsText" text="non" id="{002500B3-0037-4EA8-B2F2-00CE00A6000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559" operator="containsText" text="non" id="{004A0093-00B0-4F91-A236-00A9005600A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558" operator="containsText" text="non" id="{000D0012-0001-49F3-8C08-009D004700D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557" operator="containsText" text="non" id="{0018002F-00D3-480E-A7A6-002800F800A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556" operator="containsText" text="non" id="{00D50047-005D-4E34-AA9B-00AA00FD007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H104</xm:sqref>
        </x14:conditionalFormatting>
        <x14:conditionalFormatting xmlns:xm="http://schemas.microsoft.com/office/excel/2006/main">
          <x14:cfRule type="containsText" priority="555" operator="containsText" text="non" id="{0079008F-00E1-41A1-9155-004E00F000B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552" operator="containsText" text="non" id="{00D50028-0015-4D2D-BA44-0002002C002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549" operator="containsText" text="non" id="{009E0033-00E4-4124-97DB-00B50051000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546" operator="containsText" text="non" id="{00EF00EA-0007-4D3B-A632-00C000DD00E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544" operator="containsText" text="non" id="{00410012-00C3-4F19-86D4-0034003800F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543" operator="containsText" text="non" id="{003700F1-0085-442A-B72B-005C001500E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538" operator="containsText" text="non" id="{006B0099-0085-418A-827F-005200A600D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537" operator="containsText" text="non" id="{0059008D-006B-4061-B139-00810059006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535" operator="containsText" text="non" id="{007300FF-0004-4084-9C79-00F200C100A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533" operator="containsText" text="non" id="{00B6007A-0081-4EE0-94BA-008F005B001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528" operator="containsText" text="non" id="{00B5001D-004A-4452-94E7-00B100CC002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527" operator="containsText" text="non" id="{00AE005D-00E0-4D0A-8F44-0053009E00A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526" operator="containsText" text="non" id="{006D0098-006A-4154-B082-006B004F00A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522" operator="containsText" text="non" id="{00D0005D-002B-46A8-BB81-00B1002700C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519" operator="containsText" text="non" id="{00FB00FF-009F-4958-B1DE-0082000E00F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517" operator="containsText" text="non" id="{00D300F6-005D-4D32-AE65-00000052003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515" operator="containsText" text="non" id="{0092006E-0090-4BCC-AEFC-00F8006100A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513" operator="containsText" text="non" id="{00430030-0095-4B4B-A48C-0038001F00B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511" operator="containsText" text="non" id="{008F00F7-008C-4B51-9B48-008D00B200A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510" operator="containsText" text="non" id="{000100E3-00CD-4854-9E89-00D700F700D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509" operator="containsText" text="non" id="{0022008D-0071-446B-9FEA-000200DB002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508" operator="containsText" text="non" id="{00FE001E-00B2-4D5B-A7B8-008200C5009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506" operator="containsText" text="non" id="{00150045-00F1-4237-BCE4-00FA00AB006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505" operator="containsText" text="non" id="{0019003E-0008-47EA-B101-0025001D00E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504" operator="containsText" text="non" id="{00420071-00A1-4DB1-A706-0014004000E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503" operator="containsText" text="non" id="{000A00C0-003C-48A6-8B98-001D00F3006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500" operator="containsText" text="non" id="{00930034-0006-41AB-918D-00C000BA00E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498" operator="containsText" text="non" id="{00460027-000E-4062-B59F-00D0005A002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497" operator="containsText" text="non" id="{00440042-0005-44DD-AA48-0094003B004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494" operator="containsText" text="non" id="{008300A9-00C6-479B-A1D2-0006005F00F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492" operator="containsText" text="non" id="{009300C0-00D6-4E70-B26A-00A2006A008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490" operator="containsText" text="non" id="{00EC00D9-00C7-479E-8399-00A00090003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488" operator="containsText" text="non" id="{006C0024-002E-4F73-B914-00EC006D000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487" operator="containsText" text="non" id="{007100AC-00B4-4CF0-9CEC-000B002A008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486" operator="containsText" text="non" id="{00550021-005E-4F25-8AF1-009E004E001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H1:H94 H134 H129 H116:H117 H99:H100 H102 H107:H108 H121 H131 H142:H319 H331:H1048576</xm:sqref>
        </x14:conditionalFormatting>
        <x14:conditionalFormatting xmlns:xm="http://schemas.microsoft.com/office/excel/2006/main">
          <x14:cfRule type="containsText" priority="485" operator="containsText" text="non" id="{008C0078-00C1-4E89-933F-00E800C200E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484" operator="containsText" text="non" id="{0021000E-0090-4193-97C3-006C0065002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482" operator="containsText" text="non" id="{00EC001C-00F7-4FCD-AD9D-004B001900B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481" operator="containsText" text="non" id="{000600C0-009C-4B18-B5C3-007A00BA004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477" operator="containsText" text="non" id="{00990074-000B-486A-A531-009200A9005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H135</xm:sqref>
        </x14:conditionalFormatting>
        <x14:conditionalFormatting xmlns:xm="http://schemas.microsoft.com/office/excel/2006/main">
          <x14:cfRule type="containsText" priority="475" operator="containsText" text="oui" id="{002B0025-0049-4071-8EA5-003B00E0007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474" operator="containsText" text="non" id="{00AD001C-00F3-4F67-A0BE-00D60070006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471" operator="containsText" text="prev" id="{009000CC-00D9-4032-A8B8-0018009600A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H140</xm:sqref>
        </x14:conditionalFormatting>
        <x14:conditionalFormatting xmlns:xm="http://schemas.microsoft.com/office/excel/2006/main">
          <x14:cfRule type="containsText" priority="468" operator="containsText" text="prev" id="{00DA0086-00EC-4C6A-8575-0078005F008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H141</xm:sqref>
        </x14:conditionalFormatting>
        <x14:conditionalFormatting xmlns:xm="http://schemas.microsoft.com/office/excel/2006/main">
          <x14:cfRule type="containsText" priority="465" operator="containsText" text="prev" id="{006D0069-0002-490B-A489-00DD00C100C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H126</xm:sqref>
        </x14:conditionalFormatting>
        <x14:conditionalFormatting xmlns:xm="http://schemas.microsoft.com/office/excel/2006/main">
          <x14:cfRule type="containsText" priority="462" operator="containsText" text="prev" id="{00E00087-00B9-4232-888F-009D003F007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H123</xm:sqref>
        </x14:conditionalFormatting>
        <x14:conditionalFormatting xmlns:xm="http://schemas.microsoft.com/office/excel/2006/main">
          <x14:cfRule type="containsText" priority="459" operator="containsText" text="prev" id="{00FB0013-0072-4C79-8952-00A600A0005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H138</xm:sqref>
        </x14:conditionalFormatting>
        <x14:conditionalFormatting xmlns:xm="http://schemas.microsoft.com/office/excel/2006/main">
          <x14:cfRule type="containsText" priority="456" operator="containsText" text="prev" id="{00430015-006D-4277-A6F9-00E7008B00D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H127</xm:sqref>
        </x14:conditionalFormatting>
        <x14:conditionalFormatting xmlns:xm="http://schemas.microsoft.com/office/excel/2006/main">
          <x14:cfRule type="containsText" priority="453" operator="containsText" text="prev" id="{006800A7-00EA-47F5-B905-008100F3002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H137</xm:sqref>
        </x14:conditionalFormatting>
        <x14:conditionalFormatting xmlns:xm="http://schemas.microsoft.com/office/excel/2006/main">
          <x14:cfRule type="containsText" priority="450" operator="containsText" text="prev" id="{004E003C-00C9-46FE-8906-00420045002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H139</xm:sqref>
        </x14:conditionalFormatting>
        <x14:conditionalFormatting xmlns:xm="http://schemas.microsoft.com/office/excel/2006/main">
          <x14:cfRule type="containsText" priority="447" operator="containsText" text="prev" id="{002600DD-00E4-4A54-A47C-00D100E2006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H136</xm:sqref>
        </x14:conditionalFormatting>
        <x14:conditionalFormatting xmlns:xm="http://schemas.microsoft.com/office/excel/2006/main">
          <x14:cfRule type="containsText" priority="444" operator="containsText" text="prev" id="{00610029-0077-4F32-B50C-006100C5006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H130</xm:sqref>
        </x14:conditionalFormatting>
        <x14:conditionalFormatting xmlns:xm="http://schemas.microsoft.com/office/excel/2006/main">
          <x14:cfRule type="containsText" priority="441" operator="containsText" text="prev" id="{00BE00C7-0043-4E94-84EC-009B00AA006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H133</xm:sqref>
        </x14:conditionalFormatting>
        <x14:conditionalFormatting xmlns:xm="http://schemas.microsoft.com/office/excel/2006/main">
          <x14:cfRule type="containsText" priority="438" operator="containsText" text="prev" id="{003C00D5-0056-40D3-A0A8-001A0009008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H132</xm:sqref>
        </x14:conditionalFormatting>
        <x14:conditionalFormatting xmlns:xm="http://schemas.microsoft.com/office/excel/2006/main">
          <x14:cfRule type="containsText" priority="435" operator="containsText" text="prev" id="{00F900B2-00FC-418A-A991-001F00A6003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H128</xm:sqref>
        </x14:conditionalFormatting>
        <x14:conditionalFormatting xmlns:xm="http://schemas.microsoft.com/office/excel/2006/main">
          <x14:cfRule type="containsText" priority="432" operator="containsText" text="prev" id="{00F50055-0008-4D8B-8D3F-00DF001400C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H125</xm:sqref>
        </x14:conditionalFormatting>
        <x14:conditionalFormatting xmlns:xm="http://schemas.microsoft.com/office/excel/2006/main">
          <x14:cfRule type="containsText" priority="431" operator="containsText" text="prev" id="{00BC0005-001C-4E34-8E16-005400F100B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H134</xm:sqref>
        </x14:conditionalFormatting>
        <x14:conditionalFormatting xmlns:xm="http://schemas.microsoft.com/office/excel/2006/main">
          <x14:cfRule type="containsText" priority="428" operator="containsText" text="prev" id="{00AD0035-0017-4E75-AF02-0042001F002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H120</xm:sqref>
        </x14:conditionalFormatting>
        <x14:conditionalFormatting xmlns:xm="http://schemas.microsoft.com/office/excel/2006/main">
          <x14:cfRule type="containsText" priority="425" operator="containsText" text="prev" id="{00120040-00EC-4850-874D-003A005400B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H119</xm:sqref>
        </x14:conditionalFormatting>
        <x14:conditionalFormatting xmlns:xm="http://schemas.microsoft.com/office/excel/2006/main">
          <x14:cfRule type="containsText" priority="422" operator="containsText" text="prev" id="{00DB0080-005B-4E28-BF9E-0006001F000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H122</xm:sqref>
        </x14:conditionalFormatting>
        <x14:conditionalFormatting xmlns:xm="http://schemas.microsoft.com/office/excel/2006/main">
          <x14:cfRule type="containsText" priority="419" operator="containsText" text="prev" id="{0016003C-0028-4CF1-B275-002200D5004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H124</xm:sqref>
        </x14:conditionalFormatting>
        <x14:conditionalFormatting xmlns:xm="http://schemas.microsoft.com/office/excel/2006/main">
          <x14:cfRule type="containsText" priority="416" operator="containsText" text="prev" id="{0054006A-0044-4A96-8302-000F007F004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H129</xm:sqref>
        </x14:conditionalFormatting>
        <x14:conditionalFormatting xmlns:xm="http://schemas.microsoft.com/office/excel/2006/main">
          <x14:cfRule type="containsText" priority="415" operator="containsText" text="prev" id="{009100FA-00DC-4291-A753-009B00A4009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H115</xm:sqref>
        </x14:conditionalFormatting>
        <x14:conditionalFormatting xmlns:xm="http://schemas.microsoft.com/office/excel/2006/main">
          <x14:cfRule type="containsText" priority="414" operator="containsText" text="prev" id="{00A800FE-009D-4E5C-AE89-001D000000F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H114</xm:sqref>
        </x14:conditionalFormatting>
        <x14:conditionalFormatting xmlns:xm="http://schemas.microsoft.com/office/excel/2006/main">
          <x14:cfRule type="containsText" priority="413" operator="containsText" text="prev" id="{0090007A-0065-4449-8D04-00290021007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H113</xm:sqref>
        </x14:conditionalFormatting>
        <x14:conditionalFormatting xmlns:xm="http://schemas.microsoft.com/office/excel/2006/main">
          <x14:cfRule type="containsText" priority="410" operator="containsText" text="prev" id="{006500CF-00B8-4BCD-A95C-004D008900E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H118</xm:sqref>
        </x14:conditionalFormatting>
        <x14:conditionalFormatting xmlns:xm="http://schemas.microsoft.com/office/excel/2006/main">
          <x14:cfRule type="containsText" priority="407" operator="containsText" text="prev" id="{0042007F-0048-4E46-810A-004D006A005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H116</xm:sqref>
        </x14:conditionalFormatting>
        <x14:conditionalFormatting xmlns:xm="http://schemas.microsoft.com/office/excel/2006/main">
          <x14:cfRule type="containsText" priority="405" operator="containsText" text="prev" id="{00AC004D-0064-4939-9265-0065009C004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H117</xm:sqref>
        </x14:conditionalFormatting>
        <x14:conditionalFormatting xmlns:xm="http://schemas.microsoft.com/office/excel/2006/main">
          <x14:cfRule type="containsText" priority="404" operator="containsText" text="prev" id="{00C0005E-0089-45DB-8AB8-000F0076008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H112</xm:sqref>
        </x14:conditionalFormatting>
        <x14:conditionalFormatting xmlns:xm="http://schemas.microsoft.com/office/excel/2006/main">
          <x14:cfRule type="containsText" priority="403" operator="containsText" text="prev" id="{00C00044-000A-4564-93C6-003B00AC001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H111</xm:sqref>
        </x14:conditionalFormatting>
        <x14:conditionalFormatting xmlns:xm="http://schemas.microsoft.com/office/excel/2006/main">
          <x14:cfRule type="containsText" priority="401" operator="containsText" text="prev" id="{002200FD-002D-41DA-914C-00AE0092007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H109</xm:sqref>
        </x14:conditionalFormatting>
        <x14:conditionalFormatting xmlns:xm="http://schemas.microsoft.com/office/excel/2006/main">
          <x14:cfRule type="containsText" priority="400" operator="containsText" text="prev" id="{004B00AE-0014-4EC6-B019-00C7006200C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H110</xm:sqref>
        </x14:conditionalFormatting>
        <x14:conditionalFormatting xmlns:xm="http://schemas.microsoft.com/office/excel/2006/main">
          <x14:cfRule type="containsText" priority="398" operator="containsText" text="prev" id="{005A0025-0078-4D47-A960-001900BE008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H105</xm:sqref>
        </x14:conditionalFormatting>
        <x14:conditionalFormatting xmlns:xm="http://schemas.microsoft.com/office/excel/2006/main">
          <x14:cfRule type="containsText" priority="397" operator="containsText" text="prev" id="{00DF0048-007E-456A-9E0D-00390060002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H106</xm:sqref>
        </x14:conditionalFormatting>
        <x14:conditionalFormatting xmlns:xm="http://schemas.microsoft.com/office/excel/2006/main">
          <x14:cfRule type="containsText" priority="395" operator="containsText" text="prev" id="{00EC000C-0097-4723-A253-009A00F6001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393" operator="containsText" text="prev" id="{0071000B-009D-4DE7-BE92-00EF00D300F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391" operator="containsText" text="prev" id="{00C100FD-00FC-419D-B55C-00D70025005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389" operator="containsText" text="prev" id="{00C400A6-0091-41B4-A3FE-00490036005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387" operator="containsText" text="prev" id="{00D10098-00BB-4FD7-9ED7-00AE0040008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386" operator="containsText" text="prev" id="{008000E7-009C-4024-BBED-00910087008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385" operator="containsText" text="prev" id="{0018001F-0020-4CBB-90E7-002300BE00C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384" operator="containsText" text="prev" id="{008200CF-0086-46FA-9DD8-00DF0068005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H104</xm:sqref>
        </x14:conditionalFormatting>
        <x14:conditionalFormatting xmlns:xm="http://schemas.microsoft.com/office/excel/2006/main">
          <x14:cfRule type="containsText" priority="383" operator="containsText" text="prev" id="{00C7006F-00C5-4C39-90AE-002D007E00C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380" operator="containsText" text="prev" id="{005E00F1-0025-479C-9CC9-003D0000004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377" operator="containsText" text="prev" id="{008A00B6-00DC-4A34-840D-00BC001400E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374" operator="containsText" text="prev" id="{00E200C0-0065-401C-ABBE-00950096004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372" operator="containsText" text="prev" id="{000000E3-00EF-45B3-AF3D-008000EE00E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371" operator="containsText" text="prev" id="{002900EA-0062-4446-A99A-0071002100E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366" operator="containsText" text="prev" id="{00C70034-007E-4082-9CEF-00C800A6007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365" operator="containsText" text="prev" id="{00120013-00C6-4D2F-9A0C-000500CA001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363" operator="containsText" text="prev" id="{00720067-0011-4683-A9EA-002E009300B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361" operator="containsText" text="prev" id="{00B000A2-00E8-463A-B57E-00FE00D8003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356" operator="containsText" text="prev" id="{00FD00D8-008F-4AE8-BAC1-005A006A008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355" operator="containsText" text="prev" id="{0058009A-0040-4AA4-A532-002D00DE005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354" operator="containsText" text="prev" id="{000C00C9-0027-49D9-BC25-00BF00C800D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350" operator="containsText" text="prev" id="{003F00EA-0026-43B0-86F6-008400C800F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347" operator="containsText" text="prev" id="{002D0076-0029-4ED4-9FF6-00510045009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345" operator="containsText" text="prev" id="{00B80003-004F-45E4-B7FA-00B500A3000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343" operator="containsText" text="prev" id="{00E900FC-00D8-4AEA-B29C-000F00C3001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341" operator="containsText" text="prev" id="{00380090-000E-42A7-9A29-0023008100A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339" operator="containsText" text="prev" id="{00120054-0027-4A0B-9A4F-00B100E1005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338" operator="containsText" text="prev" id="{006F0066-00C1-4A58-8614-00BE000900C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337" operator="containsText" text="prev" id="{00EE0058-005C-4A4E-B950-005F0075008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336" operator="containsText" text="prev" id="{00DC00BC-00D0-4789-9B4D-003F007B00D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334" operator="containsText" text="prev" id="{005F00CF-0057-4B94-90A1-0003006D00B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333" operator="containsText" text="prev" id="{00D30027-0074-4F4E-B21E-000D008D006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332" operator="containsText" text="prev" id="{00C00026-0099-49E3-8547-0041008700E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331" operator="containsText" text="prev" id="{00E7007B-0001-4E35-B069-00440065001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328" operator="containsText" text="prev" id="{00360062-0072-44D6-963A-00A3007E006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326" operator="containsText" text="prev" id="{00CD0021-0016-4BE3-B194-00EF006F00F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325" operator="containsText" text="prev" id="{00110040-002A-40FC-8B17-00040062009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324" operator="containsText" text="prev" id="{00F400AC-002A-4686-8CB0-00AF0085009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323" operator="containsText" text="prev" id="{00C200B5-0059-4FC2-B59B-00F7005000A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322" operator="containsText" text="prev" id="{00580079-0031-4CBB-A870-001000A400C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321" operator="containsText" text="prev" id="{003800A0-0019-4AA8-A5FB-00D9007E009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318" operator="containsText" text="prev" id="{00230019-00AA-497A-BDDA-00FE0050009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314" operator="containsText" text="prev" id="{0033007F-0058-4A6A-9B74-00A2001000F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313" operator="containsText" text="prev" id="{00530010-0059-41C0-9A0B-00DF008F00F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311" operator="containsText" text="prev" id="{00A100B8-0083-4602-AFD5-00E300E900D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310" operator="containsText" text="prev" id="{005B0071-00DE-4160-A133-00C500B600D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309" operator="containsText" text="prev" id="{0068008C-0097-4F6C-8C3A-0018001400E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H134 H129 H116:H117 H99:H100 H1:H94 H102 H107:H108 H121 H131 H142:H319 H331:H1048576</xm:sqref>
        </x14:conditionalFormatting>
        <x14:conditionalFormatting xmlns:xm="http://schemas.microsoft.com/office/excel/2006/main">
          <x14:cfRule type="containsText" priority="306" operator="containsText" text="oui" id="{009B0039-0030-42C4-92ED-0020006B002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H140</xm:sqref>
        </x14:conditionalFormatting>
        <x14:conditionalFormatting xmlns:xm="http://schemas.microsoft.com/office/excel/2006/main">
          <x14:cfRule type="containsText" priority="303" operator="containsText" text="oui" id="{007300BC-00D3-4EA0-8B4E-001B001C001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H141</xm:sqref>
        </x14:conditionalFormatting>
        <x14:conditionalFormatting xmlns:xm="http://schemas.microsoft.com/office/excel/2006/main">
          <x14:cfRule type="containsText" priority="299" operator="containsText" text="prev" id="{004F0044-0033-4C60-8037-00C10082008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H135</xm:sqref>
        </x14:conditionalFormatting>
        <x14:conditionalFormatting xmlns:xm="http://schemas.microsoft.com/office/excel/2006/main">
          <x14:cfRule type="containsText" priority="296" operator="containsText" text="oui" id="{0019001B-0034-48F3-8FA2-00A8005C004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H126</xm:sqref>
        </x14:conditionalFormatting>
        <x14:conditionalFormatting xmlns:xm="http://schemas.microsoft.com/office/excel/2006/main">
          <x14:cfRule type="containsText" priority="293" operator="containsText" text="oui" id="{00840000-0039-476B-A224-00FF003B00A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H123</xm:sqref>
        </x14:conditionalFormatting>
        <x14:conditionalFormatting xmlns:xm="http://schemas.microsoft.com/office/excel/2006/main">
          <x14:cfRule type="containsText" priority="290" operator="containsText" text="oui" id="{00770069-005C-4FEE-A47D-00A0001B005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H138</xm:sqref>
        </x14:conditionalFormatting>
        <x14:conditionalFormatting xmlns:xm="http://schemas.microsoft.com/office/excel/2006/main">
          <x14:cfRule type="containsText" priority="287" operator="containsText" text="oui" id="{00A4008E-00A5-495D-A5E0-0060002A00D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H127</xm:sqref>
        </x14:conditionalFormatting>
        <x14:conditionalFormatting xmlns:xm="http://schemas.microsoft.com/office/excel/2006/main">
          <x14:cfRule type="containsText" priority="284" operator="containsText" text="oui" id="{000B000E-0073-446B-8164-00570037000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H137</xm:sqref>
        </x14:conditionalFormatting>
        <x14:conditionalFormatting xmlns:xm="http://schemas.microsoft.com/office/excel/2006/main">
          <x14:cfRule type="containsText" priority="281" operator="containsText" text="oui" id="{009C009E-0070-4C47-98C0-0070000E00A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H139</xm:sqref>
        </x14:conditionalFormatting>
        <x14:conditionalFormatting xmlns:xm="http://schemas.microsoft.com/office/excel/2006/main">
          <x14:cfRule type="containsText" priority="278" operator="containsText" text="oui" id="{007900F0-00FB-4E9B-BC6B-0092003E008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H136</xm:sqref>
        </x14:conditionalFormatting>
        <x14:conditionalFormatting xmlns:xm="http://schemas.microsoft.com/office/excel/2006/main">
          <x14:cfRule type="containsText" priority="275" operator="containsText" text="oui" id="{00F70027-0047-44F5-9FDA-00B80050002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H130</xm:sqref>
        </x14:conditionalFormatting>
        <x14:conditionalFormatting xmlns:xm="http://schemas.microsoft.com/office/excel/2006/main">
          <x14:cfRule type="containsText" priority="272" operator="containsText" text="oui" id="{00A000F5-00FA-47F2-9C9B-00EC007F007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H133</xm:sqref>
        </x14:conditionalFormatting>
        <x14:conditionalFormatting xmlns:xm="http://schemas.microsoft.com/office/excel/2006/main">
          <x14:cfRule type="containsText" priority="269" operator="containsText" text="oui" id="{006000EC-0059-4FD5-B598-00BA0065000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H132</xm:sqref>
        </x14:conditionalFormatting>
        <x14:conditionalFormatting xmlns:xm="http://schemas.microsoft.com/office/excel/2006/main">
          <x14:cfRule type="containsText" priority="266" operator="containsText" text="oui" id="{009E00AC-00C9-4679-8CD8-00D9007E009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H128</xm:sqref>
        </x14:conditionalFormatting>
        <x14:conditionalFormatting xmlns:xm="http://schemas.microsoft.com/office/excel/2006/main">
          <x14:cfRule type="containsText" priority="263" operator="containsText" text="oui" id="{00290006-0049-47AB-B5CF-00210064001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H125</xm:sqref>
        </x14:conditionalFormatting>
        <x14:conditionalFormatting xmlns:xm="http://schemas.microsoft.com/office/excel/2006/main">
          <x14:cfRule type="containsText" priority="262" operator="containsText" text="oui" id="{00F5005A-0008-47EC-825C-001300F200C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H134</xm:sqref>
        </x14:conditionalFormatting>
        <x14:conditionalFormatting xmlns:xm="http://schemas.microsoft.com/office/excel/2006/main">
          <x14:cfRule type="containsText" priority="259" operator="containsText" text="oui" id="{000500A2-0030-4F6E-97D6-00440015006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H120</xm:sqref>
        </x14:conditionalFormatting>
        <x14:conditionalFormatting xmlns:xm="http://schemas.microsoft.com/office/excel/2006/main">
          <x14:cfRule type="containsText" priority="256" operator="containsText" text="oui" id="{005D00C6-00E4-4844-8ACC-0038007B00A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H119</xm:sqref>
        </x14:conditionalFormatting>
        <x14:conditionalFormatting xmlns:xm="http://schemas.microsoft.com/office/excel/2006/main">
          <x14:cfRule type="containsText" priority="253" operator="containsText" text="oui" id="{00F8001D-0072-4C30-9791-006C00E7004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H122</xm:sqref>
        </x14:conditionalFormatting>
        <x14:conditionalFormatting xmlns:xm="http://schemas.microsoft.com/office/excel/2006/main">
          <x14:cfRule type="containsText" priority="250" operator="containsText" text="oui" id="{00A50046-000D-4238-A485-00B20030006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H124</xm:sqref>
        </x14:conditionalFormatting>
        <x14:conditionalFormatting xmlns:xm="http://schemas.microsoft.com/office/excel/2006/main">
          <x14:cfRule type="containsText" priority="247" operator="containsText" text="oui" id="{00690095-0089-45BB-A50B-00E7008A002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H129</xm:sqref>
        </x14:conditionalFormatting>
        <x14:conditionalFormatting xmlns:xm="http://schemas.microsoft.com/office/excel/2006/main">
          <x14:cfRule type="containsText" priority="246" operator="containsText" text="oui" id="{00FA00A6-0057-47B1-A149-009100CD000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H115</xm:sqref>
        </x14:conditionalFormatting>
        <x14:conditionalFormatting xmlns:xm="http://schemas.microsoft.com/office/excel/2006/main">
          <x14:cfRule type="containsText" priority="245" operator="containsText" text="oui" id="{00E90067-000B-4685-AEEB-00EE0012003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H114</xm:sqref>
        </x14:conditionalFormatting>
        <x14:conditionalFormatting xmlns:xm="http://schemas.microsoft.com/office/excel/2006/main">
          <x14:cfRule type="containsText" priority="244" operator="containsText" text="oui" id="{0049001A-0080-4427-ADBE-003A001A003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H113</xm:sqref>
        </x14:conditionalFormatting>
        <x14:conditionalFormatting xmlns:xm="http://schemas.microsoft.com/office/excel/2006/main">
          <x14:cfRule type="containsText" priority="241" operator="containsText" text="oui" id="{008F002F-006E-438B-BD78-00D90001000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H118</xm:sqref>
        </x14:conditionalFormatting>
        <x14:conditionalFormatting xmlns:xm="http://schemas.microsoft.com/office/excel/2006/main">
          <x14:cfRule type="containsText" priority="238" operator="containsText" text="oui" id="{005600E7-007E-4117-99A8-00D800C0003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H116</xm:sqref>
        </x14:conditionalFormatting>
        <x14:conditionalFormatting xmlns:xm="http://schemas.microsoft.com/office/excel/2006/main">
          <x14:cfRule type="containsText" priority="236" operator="containsText" text="oui" id="{001D00FF-002C-41E1-8C22-00C500D5009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H117</xm:sqref>
        </x14:conditionalFormatting>
        <x14:conditionalFormatting xmlns:xm="http://schemas.microsoft.com/office/excel/2006/main">
          <x14:cfRule type="containsText" priority="235" operator="containsText" text="oui" id="{00C500B6-00AB-41BA-B6E5-00910039004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H112</xm:sqref>
        </x14:conditionalFormatting>
        <x14:conditionalFormatting xmlns:xm="http://schemas.microsoft.com/office/excel/2006/main">
          <x14:cfRule type="containsText" priority="234" operator="containsText" text="oui" id="{003A00C7-00BA-44FE-BAC9-008B008F00A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H111</xm:sqref>
        </x14:conditionalFormatting>
        <x14:conditionalFormatting xmlns:xm="http://schemas.microsoft.com/office/excel/2006/main">
          <x14:cfRule type="containsText" priority="232" operator="containsText" text="oui" id="{00AE00E8-000F-481D-8CBC-0027009F007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H109</xm:sqref>
        </x14:conditionalFormatting>
        <x14:conditionalFormatting xmlns:xm="http://schemas.microsoft.com/office/excel/2006/main">
          <x14:cfRule type="containsText" priority="231" operator="containsText" text="oui" id="{002000E2-00C2-45DA-AE1D-00C300AD00E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H110</xm:sqref>
        </x14:conditionalFormatting>
        <x14:conditionalFormatting xmlns:xm="http://schemas.microsoft.com/office/excel/2006/main">
          <x14:cfRule type="containsText" priority="229" operator="containsText" text="oui" id="{00CC007B-0044-461F-8AE0-008E007400F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H105</xm:sqref>
        </x14:conditionalFormatting>
        <x14:conditionalFormatting xmlns:xm="http://schemas.microsoft.com/office/excel/2006/main">
          <x14:cfRule type="containsText" priority="228" operator="containsText" text="oui" id="{003B000C-00CC-46C0-A6EA-0004000600D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H106</xm:sqref>
        </x14:conditionalFormatting>
        <x14:conditionalFormatting xmlns:xm="http://schemas.microsoft.com/office/excel/2006/main">
          <x14:cfRule type="containsText" priority="226" operator="containsText" text="oui" id="{00270037-00B6-4942-B51E-00CE0033006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containsText" priority="224" operator="containsText" text="oui" id="{00B9005E-00CF-43BD-8304-00EC00FA006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222" operator="containsText" text="oui" id="{0005002F-00EA-4331-9BE7-006F00EC004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220" operator="containsText" text="oui" id="{006B00EC-00E3-4CFF-B056-00D7003300F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218" operator="containsText" text="oui" id="{00D40080-002B-4D70-BCA9-00F400BA001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217" operator="containsText" text="oui" id="{007E009B-0071-4C3B-AC6C-0012006C002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216" operator="containsText" text="oui" id="{00E40093-0010-4BF4-B505-00E1000A005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215" operator="containsText" text="oui" id="{006400AE-0081-414D-A90D-0095006A004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H104</xm:sqref>
        </x14:conditionalFormatting>
        <x14:conditionalFormatting xmlns:xm="http://schemas.microsoft.com/office/excel/2006/main">
          <x14:cfRule type="containsText" priority="214" operator="containsText" text="oui" id="{00F20080-003D-45CD-8EC9-00BD00A2003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211" operator="containsText" text="oui" id="{00610063-0070-4903-87B9-00D5009200A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208" operator="containsText" text="oui" id="{00980054-0083-4154-BB27-00EF0044007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205" operator="containsText" text="oui" id="{00A5009F-0089-466A-A3E1-00DB00E900E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203" operator="containsText" text="oui" id="{004200EA-00D0-4799-9A78-0050005C002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202" operator="containsText" text="oui" id="{00AB00C7-008B-4830-9B12-002700BF006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197" operator="containsText" text="oui" id="{002700BC-006E-443A-83A9-001A00B700C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196" operator="containsText" text="oui" id="{004B0066-0001-4820-9A7A-00620097005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H83</xm:sqref>
        </x14:conditionalFormatting>
        <x14:conditionalFormatting xmlns:xm="http://schemas.microsoft.com/office/excel/2006/main">
          <x14:cfRule type="containsText" priority="194" operator="containsText" text="oui" id="{00EA0039-002D-4787-A5AA-004300B7005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192" operator="containsText" text="oui" id="{00BB00C8-0018-4FEB-8903-0051006000E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187" operator="containsText" text="oui" id="{00A80031-009B-4751-BB67-00DF00E200C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86" operator="containsText" text="oui" id="{00F2009D-00D0-4695-89CE-006A0093003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85" operator="containsText" text="oui" id="{00FA00F9-0022-4E0D-8473-00E900E0008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181" operator="containsText" text="oui" id="{00320029-00DF-4F63-B81D-0017004A008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178" operator="containsText" text="oui" id="{00D500BB-006D-46A3-9DB0-003C000800C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76" operator="containsText" text="oui" id="{007D0088-00C4-48F6-8E73-00270025000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H74</xm:sqref>
        </x14:conditionalFormatting>
        <x14:conditionalFormatting xmlns:xm="http://schemas.microsoft.com/office/excel/2006/main">
          <x14:cfRule type="containsText" priority="174" operator="containsText" text="oui" id="{001500AC-0086-4493-B95E-008C007100A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H73</xm:sqref>
        </x14:conditionalFormatting>
        <x14:conditionalFormatting xmlns:xm="http://schemas.microsoft.com/office/excel/2006/main">
          <x14:cfRule type="containsText" priority="172" operator="containsText" text="oui" id="{00650066-00AC-4DA3-B34C-008300C300D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170" operator="containsText" text="oui" id="{000F002C-0033-460F-8F0F-007800A200B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containsText" priority="169" operator="containsText" text="oui" id="{00BB00CC-002D-4717-84D0-00A50053005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containsText" priority="168" operator="containsText" text="oui" id="{00AF0046-0019-4ADF-B939-006D0059009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containsText" priority="167" operator="containsText" text="oui" id="{002B00E4-0049-4276-B2A0-00E300CA00D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165" operator="containsText" text="oui" id="{00E90009-00AF-4E90-9DA4-0082005C00E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H70</xm:sqref>
        </x14:conditionalFormatting>
        <x14:conditionalFormatting xmlns:xm="http://schemas.microsoft.com/office/excel/2006/main">
          <x14:cfRule type="containsText" priority="164" operator="containsText" text="oui" id="{007900D5-0004-4FDB-8628-003800AE000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H69</xm:sqref>
        </x14:conditionalFormatting>
        <x14:conditionalFormatting xmlns:xm="http://schemas.microsoft.com/office/excel/2006/main">
          <x14:cfRule type="containsText" priority="163" operator="containsText" text="oui" id="{003800EC-00F1-4E5B-AC7E-00AA0042005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62" operator="containsText" text="oui" id="{0003005C-009C-4918-8D19-00B700CF00B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containsText" priority="159" operator="containsText" text="oui" id="{00900071-0006-4D8E-9D08-00FD00DF00F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157" operator="containsText" text="oui" id="{000B000A-0080-43AE-9161-00AA00A900B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156" operator="containsText" text="oui" id="{00600056-0034-49A5-8A0F-004800B400C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containsText" priority="154" operator="containsText" text="oui" id="{00A2001E-00EE-40A9-AB31-0092000D000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containsText" priority="153" operator="containsText" text="oui" id="{00D600EC-009C-4E21-B889-002A001B00C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H52</xm:sqref>
        </x14:conditionalFormatting>
        <x14:conditionalFormatting xmlns:xm="http://schemas.microsoft.com/office/excel/2006/main">
          <x14:cfRule type="containsText" priority="152" operator="containsText" text="oui" id="{00D900FF-0071-4216-A4DA-00670096004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containsText" priority="151" operator="containsText" text="oui" id="{007E002B-004D-4B7B-9138-00F70047002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50" operator="containsText" text="oui" id="{007900A6-00B7-4CAC-B4A5-009900BD005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148" operator="containsText" text="oui" id="{00B200CA-00C1-4D6C-A35E-00D500D000D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44" operator="containsText" text="oui" id="{00C70047-00A4-48A2-9FCB-00A50031005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141" operator="containsText" text="oui" id="{00E500E4-00BE-448B-B162-0092003E00E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40" operator="containsText" text="oui" id="{000600A1-008F-4B34-8A9C-00E9007D007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H53</xm:sqref>
        </x14:conditionalFormatting>
        <x14:conditionalFormatting xmlns:xm="http://schemas.microsoft.com/office/excel/2006/main">
          <x14:cfRule type="containsText" priority="136" operator="containsText" text="oui" id="{008E007E-00C4-4037-9845-00FA0076006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H135</xm:sqref>
        </x14:conditionalFormatting>
        <x14:conditionalFormatting xmlns:xm="http://schemas.microsoft.com/office/excel/2006/main">
          <x14:cfRule type="containsText" priority="135" operator="containsText" text="non" id="{00B4005E-0043-45C8-8812-00FC002400F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4" operator="containsText" text="oui" id="{002A00F2-00FF-41AF-BF95-001A00F1008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H1:H94 H99:H100 H102 H107:H108 H116:H117 H121 H129 H131 H134 H142:H319 H331:H1048576</xm:sqref>
        </x14:conditionalFormatting>
        <x14:conditionalFormatting xmlns:xm="http://schemas.microsoft.com/office/excel/2006/main">
          <x14:cfRule type="containsText" priority="133" operator="containsText" text="prev" id="{00CB00B7-00F3-486B-A277-005200DB007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132" operator="containsText" text="prev" id="{006A002E-0016-4775-B87A-009700B1006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1" operator="containsText" text="oui" id="{00F000B6-0060-446E-B53E-0001002B003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30" operator="containsText" text="non" id="{004C002A-00EE-46D0-9A8F-00FC00D1005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29" operator="containsText" text="non" id="{00D80000-00B5-4E6F-AAA5-00FD007C00C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28" operator="containsText" text="oui" id="{00E70046-00A7-43AD-B942-00780097006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containsText" priority="127" operator="containsText" text="prev" id="{00F90030-00A0-44A8-A60C-00EA004800D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containsText" priority="126" operator="containsText" text="non" id="{00E5008E-0023-461B-9CED-00F9002D007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H38</xm:sqref>
        </x14:conditionalFormatting>
        <x14:conditionalFormatting xmlns:xm="http://schemas.microsoft.com/office/excel/2006/main">
          <x14:cfRule type="containsText" priority="125" operator="containsText" text="oui" id="{00A700E8-001A-4340-841D-001A008B00A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H38</xm:sqref>
        </x14:conditionalFormatting>
        <x14:conditionalFormatting xmlns:xm="http://schemas.microsoft.com/office/excel/2006/main">
          <x14:cfRule type="containsText" priority="124" operator="containsText" text="prev" id="{00D90047-00C9-4007-8B9E-00830060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H38</xm:sqref>
        </x14:conditionalFormatting>
        <x14:conditionalFormatting xmlns:xm="http://schemas.microsoft.com/office/excel/2006/main">
          <x14:cfRule type="containsText" priority="123" operator="containsText" text="non" id="{004300B2-004A-4CD1-A574-001A0031001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H37</xm:sqref>
        </x14:conditionalFormatting>
        <x14:conditionalFormatting xmlns:xm="http://schemas.microsoft.com/office/excel/2006/main">
          <x14:cfRule type="containsText" priority="122" operator="containsText" text="oui" id="{006F0078-0012-47CF-9858-008400AB007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H37</xm:sqref>
        </x14:conditionalFormatting>
        <x14:conditionalFormatting xmlns:xm="http://schemas.microsoft.com/office/excel/2006/main">
          <x14:cfRule type="containsText" priority="121" operator="containsText" text="prev" id="{005F0085-0066-49AD-8A96-007E0093009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H37</xm:sqref>
        </x14:conditionalFormatting>
        <x14:conditionalFormatting xmlns:xm="http://schemas.microsoft.com/office/excel/2006/main">
          <x14:cfRule type="containsText" priority="120" operator="containsText" text="non" id="{00E300A8-0006-41D2-836D-00BF000800C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19" operator="containsText" text="oui" id="{0084004B-004F-490C-9F1F-009D00C2003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18" operator="containsText" text="prev" id="{00800039-008F-45E2-9DFC-001700D000F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17" operator="containsText" text="prev" id="{00E5002F-00E4-461E-8AEA-005F00B7002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16" operator="containsText" text="oui" id="{002B00A2-005B-4BF4-9C8F-00B300EE00E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H33</xm:sqref>
        </x14:conditionalFormatting>
        <x14:conditionalFormatting xmlns:xm="http://schemas.microsoft.com/office/excel/2006/main">
          <x14:cfRule type="containsText" priority="115" operator="containsText" text="non" id="{008A00AE-007F-408F-B6BD-0034003F001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14" operator="containsText" text="non" id="{007700B2-008D-4854-A1C7-005400C5004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H33</xm:sqref>
        </x14:conditionalFormatting>
        <x14:conditionalFormatting xmlns:xm="http://schemas.microsoft.com/office/excel/2006/main">
          <x14:cfRule type="containsText" priority="113" operator="containsText" text="oui" id="{00E30047-0076-4BF6-84DF-00470011004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12" operator="containsText" text="prev" id="{00740085-0044-4A56-8D00-00A200FB006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H33</xm:sqref>
        </x14:conditionalFormatting>
        <x14:conditionalFormatting xmlns:xm="http://schemas.microsoft.com/office/excel/2006/main">
          <x14:cfRule type="containsText" priority="111" operator="containsText" text="prev" id="{0088009D-004C-4238-8FEA-009E00B9008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containsText" priority="110" operator="containsText" text="prev" id="{00C200DC-006C-497E-8A2D-00BA00F1001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09" operator="containsText" text="oui" id="{00FF0057-006C-469A-BA76-00250023007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H42</xm:sqref>
        </x14:conditionalFormatting>
        <x14:conditionalFormatting xmlns:xm="http://schemas.microsoft.com/office/excel/2006/main">
          <x14:cfRule type="containsText" priority="108" operator="containsText" text="oui" id="{00C10032-00DD-473D-B0D2-005800F9006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107" operator="containsText" text="non" id="{002D0057-0071-4F1C-A158-00D400D0009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containsText" priority="106" operator="containsText" text="non" id="{00FB00A3-006F-447D-B87B-00920011006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105" operator="containsText" text="prev" id="{009C002B-00C6-4734-BDEA-006F00C8009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04" operator="containsText" text="oui" id="{00F800BE-008C-4361-B4E3-005A008400B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03" operator="containsText" text="prev" id="{006700A5-001E-4D04-9D3E-00C70093005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02" operator="containsText" text="oui" id="{003900A8-00EA-4FA6-8C10-00470037002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101" operator="containsText" text="non" id="{009D0083-0091-4BDE-BBD9-0065001700B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100" operator="containsText" text="non" id="{00C5006E-0059-4C69-941A-009A00DD001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99" operator="containsText" text="prev" id="{00820057-00E2-4D53-B8A4-003D003500E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97" operator="containsText" text="oui" id="{003C00F9-00D7-4589-8587-002F009F001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96" operator="containsText" text="prev" id="{0004006A-00A6-40EF-9C5A-0023005E00E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95" operator="containsText" text="non" id="{004900B1-00E9-495D-B195-007B0004008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containsText" priority="94" operator="containsText" text="oui" id="{00E900F5-0091-44D0-A7E5-003A00EE001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93" operator="containsText" text="prev" id="{00E900F6-00A2-4AFB-BD52-00A90024003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88" operator="containsText" text="oui" id="{004200F5-0020-4BBF-B4FF-00B60019000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86" operator="containsText" text="non" id="{007800CB-00DF-4D59-938A-002E0070002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84" operator="containsText" text="prev" id="{00C70086-00E0-4F97-A6BE-00EB000500C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81" operator="containsText" text="oui" id="{00D300E8-0077-40D2-8F9F-00810030000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80" operator="containsText" text="oui" id="{00E30091-00B9-4BBE-BCEC-00C4009E009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containsText" priority="78" operator="containsText" text="non" id="{006B00FB-0030-459E-B7FC-006500BF002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69" operator="containsText" text="prev" id="{00CA0094-008F-43C6-9B33-000800E6003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68" operator="containsText" text="oui" id="{001E0065-00B1-4D8D-AA15-00C9001600B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67" operator="containsText" text="non" id="{000B00F1-00FF-4FE2-B30D-006D0029005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containsText" priority="66" operator="containsText" text="prev" id="{00BD00C8-0088-4B87-B47F-008D005600B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65" operator="containsText" text="oui" id="{001F00FE-001E-4860-AA2E-008A00D1006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containsText" priority="64" operator="containsText" text="non" id="{00C900E0-0015-4A79-9F76-00B000C7003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containsText" priority="63" operator="containsText" text="prev" id="{000B002B-00C9-464C-8866-00D7004D003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62" operator="containsText" text="oui" id="{00B00063-0030-4941-86EB-006800B9001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61" operator="containsText" text="non" id="{00400080-00E3-420C-83FA-00E400ED000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60" operator="containsText" text="prev" id="{008500EC-00E2-4E46-B01C-0002003100A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59" operator="containsText" text="oui" id="{00AC0087-00D1-458D-AE69-00A500C4003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56" operator="containsText" text="non" id="{0021007B-00B6-4F20-AD70-005300EF008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54" operator="containsText" text="oui" id="{00ED00F0-0003-4643-BFC0-0083006000A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52" operator="containsText" text="prev" id="{00050000-00FD-42D5-9D0F-001100F3003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containsText" priority="38" operator="containsText" text="prev" id="{000000FB-0009-4376-BEDB-008200A500C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36" operator="containsText" text="oui" id="{00A8003A-0047-4304-9D67-00CC004E00F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33" operator="containsText" text="non" id="{00F500D8-0049-43C1-B4BF-005800BD00A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32" operator="containsText" text="oui" id="{00A80017-0070-4AE6-8694-007000E9003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31" operator="containsText" text="prev" id="{009B008D-00F1-42A2-B57B-00F60099001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containsText" priority="30" operator="containsText" text="prev" id="{004800EC-00EF-47A0-BF2D-00B40059003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H19:H20</xm:sqref>
        </x14:conditionalFormatting>
        <x14:conditionalFormatting xmlns:xm="http://schemas.microsoft.com/office/excel/2006/main">
          <x14:cfRule type="containsText" priority="29" operator="containsText" text="oui" id="{00CA0063-000A-498E-BD46-0032004500A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H19:H20</xm:sqref>
        </x14:conditionalFormatting>
        <x14:conditionalFormatting xmlns:xm="http://schemas.microsoft.com/office/excel/2006/main">
          <x14:cfRule type="containsText" priority="27" operator="containsText" text="non" id="{005A0082-00F2-4644-818D-00DB00D300F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H19:H20</xm:sqref>
        </x14:conditionalFormatting>
        <x14:conditionalFormatting xmlns:xm="http://schemas.microsoft.com/office/excel/2006/main">
          <x14:cfRule type="containsText" priority="26" operator="containsText" text="oui" id="{00A900C9-0073-4B6A-A2B7-00E60078008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H19:H20</xm:sqref>
        </x14:conditionalFormatting>
        <x14:conditionalFormatting xmlns:xm="http://schemas.microsoft.com/office/excel/2006/main">
          <x14:cfRule type="containsText" priority="25" operator="containsText" text="prev" id="{001900B5-00DA-406D-9A56-00ED007E00C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H19:H20</xm:sqref>
        </x14:conditionalFormatting>
        <x14:conditionalFormatting xmlns:xm="http://schemas.microsoft.com/office/excel/2006/main">
          <x14:cfRule type="containsText" priority="24" operator="containsText" text="prev" id="{00E50077-00EA-4AF2-B785-008700E7001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23" operator="containsText" text="oui" id="{00D0005B-0041-4445-A40F-00BF005200B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22" operator="containsText" text="non" id="{008200CD-00C8-42B5-B269-00FE004200B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containsText" priority="18" operator="containsText" text="oui" id="{00B400CC-00A4-4595-8928-00EF00BB004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7" operator="containsText" text="non" id="{00FB0063-00D8-453D-BE35-00610053008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6" operator="containsText" text="prev" id="{001E0040-0058-4A64-A3D6-00FC0022002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5" operator="containsText" text="prev" id="{004C00D1-000F-4406-A51C-0042003E009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4" operator="containsText" text="non" id="{00F00013-00CC-4264-BD77-00FF00C000CA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2" operator="containsText" text="prev" id="{00770058-00D0-4D4C-96D6-006D0074001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11" operator="containsText" text="prev" id="{00460075-0026-4BAC-A8B2-00E6005400F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9" operator="containsText" text="non" id="{009100B8-0067-4BC6-B5C7-009600B7006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7" operator="containsText" text="oui" id="{00A3007C-0004-4B83-B70D-00F000B7002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containsText" priority="6" operator="containsText" text="prev" id="{00AD003C-0058-4ABA-A224-000000EA007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5" operator="containsText" text="non" id="{00AE009F-0079-4649-ABE0-0004002200A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4" operator="containsText" text="oui" id="{00C50088-00D1-4A9D-ABB7-00190035003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3" operator="containsText" text="oui" id="{00F500AF-00CE-467C-A8A5-00510078008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2" operator="containsText" text="non" id="{00B40020-00F6-4E07-BC64-00BA00AF00B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" operator="containsText" text="prev" id="{00CE000F-00AC-459E-8695-000D0024001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H26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G13" activeCellId="0" sqref="G13"/>
    </sheetView>
  </sheetViews>
  <sheetFormatPr baseColWidth="10" defaultRowHeight="14.25"/>
  <cols>
    <col customWidth="1" min="1" max="1" width="12.28125"/>
    <col bestFit="1" customWidth="1" min="2" max="2" width="12.28125"/>
    <col customWidth="1" min="3" max="3" width="7.42578125"/>
    <col bestFit="1" customWidth="1" min="4" max="4" width="15.42578125"/>
    <col bestFit="1" customWidth="1" min="5" max="5" width="21.7109375"/>
    <col bestFit="1" customWidth="1" min="6" max="6" width="13.42578125"/>
    <col bestFit="1" customWidth="1" min="7" max="7" width="28.7109375"/>
    <col bestFit="1" customWidth="1" min="8" max="8" width="10.85546875"/>
    <col customWidth="1" min="9" max="9" width="12.85546875"/>
    <col bestFit="1" customWidth="1" min="10" max="10" width="17.140625"/>
    <col customWidth="1" min="11" max="11" width="17.140625"/>
    <col bestFit="1" customWidth="1" min="12" max="12" width="9"/>
    <col bestFit="1" customWidth="1" min="13" max="13" width="5"/>
    <col bestFit="1" customWidth="1" min="14" max="14" width="20.7109375"/>
    <col bestFit="1" customWidth="1" min="15" max="15" width="22.57421875"/>
    <col bestFit="1" customWidth="1" min="16" max="16" width="11.7109375"/>
    <col bestFit="1" customWidth="1" min="17" max="17" width="12"/>
    <col bestFit="1" customWidth="1" min="18" max="18" width="11.7109375"/>
    <col bestFit="1" customWidth="1" min="19" max="19" width="12.5703125"/>
    <col bestFit="1" customWidth="1" min="20" max="20" width="25.42578125"/>
    <col bestFit="1" customWidth="1" min="21" max="21" width="21.5703125"/>
  </cols>
  <sheetData>
    <row r="2">
      <c r="A2" s="141" t="s">
        <v>413</v>
      </c>
      <c r="B2" s="142">
        <f>SUMIFS('Factures 2022-2023'!E:E,'Factures 2022-2023'!H:H,"oui",'Factures 2022-2023'!Q:Q,"&lt;2024")</f>
        <v>224120.10000000001</v>
      </c>
      <c r="D2" s="143" t="s">
        <v>414</v>
      </c>
      <c r="E2" s="142">
        <f>SUMIFS('Factures 2022-2023'!E:E,'Factures 2022-2023'!H:H,"prev",'Factures 2022-2023'!Q:Q,"&lt;2024")</f>
        <v>0</v>
      </c>
      <c r="H2" s="143" t="s">
        <v>72</v>
      </c>
      <c r="I2" s="144">
        <f>1.42*((3700*7+3800*2+5000*2+4000*3)*2)+950*6</f>
        <v>163320</v>
      </c>
      <c r="J2" s="61"/>
      <c r="K2" s="142">
        <f>1.42*(3700*14*2+3700*12*(F8-2))</f>
        <v>147112</v>
      </c>
      <c r="L2" s="61"/>
      <c r="M2" s="145"/>
      <c r="N2" t="s">
        <v>212</v>
      </c>
      <c r="O2" t="s">
        <v>213</v>
      </c>
    </row>
    <row r="3">
      <c r="A3" s="141" t="s">
        <v>415</v>
      </c>
      <c r="B3" s="142">
        <f>SUMIFS('Factures 2022-2023'!E:E,'Factures 2022-2023'!H:H,"non",'Factures 2022-2023'!Q:Q,"&lt;2024")</f>
        <v>0</v>
      </c>
      <c r="D3" s="143" t="s">
        <v>416</v>
      </c>
      <c r="E3" s="142">
        <f>B5</f>
        <v>224120.10000000001</v>
      </c>
      <c r="H3" s="143" t="s">
        <v>256</v>
      </c>
      <c r="I3" s="146">
        <f>SUM(H16:H27)</f>
        <v>27540</v>
      </c>
      <c r="J3" s="146">
        <f>SUM(I16:I27)</f>
        <v>23828</v>
      </c>
      <c r="K3" s="146">
        <f>SUM(J16:J29)</f>
        <v>25852.840700000001</v>
      </c>
      <c r="L3" s="147"/>
      <c r="N3" t="s">
        <v>214</v>
      </c>
      <c r="O3" t="s">
        <v>15</v>
      </c>
      <c r="P3" t="s">
        <v>215</v>
      </c>
      <c r="T3" s="148" t="s">
        <v>417</v>
      </c>
    </row>
    <row r="4">
      <c r="A4" s="141" t="s">
        <v>418</v>
      </c>
      <c r="B4" s="142">
        <f>SUMIFS('Factures 2022-2023'!G:G,'Factures 2022-2023'!H:H,"non",'Factures 2022-2023'!Q:Q,"&lt;2024")</f>
        <v>0</v>
      </c>
      <c r="D4" s="143" t="s">
        <v>419</v>
      </c>
      <c r="E4" s="149">
        <f>E3/E5</f>
        <v>1</v>
      </c>
      <c r="F4" s="143" t="s">
        <v>420</v>
      </c>
      <c r="N4" s="84" t="s">
        <v>421</v>
      </c>
      <c r="O4">
        <v>39128</v>
      </c>
      <c r="P4">
        <v>39128</v>
      </c>
      <c r="T4" s="146">
        <f>F8*3700*1.42+I3/6</f>
        <v>15098</v>
      </c>
    </row>
    <row r="5">
      <c r="A5" s="141" t="s">
        <v>422</v>
      </c>
      <c r="B5" s="142">
        <f>B3+B2</f>
        <v>224120.10000000001</v>
      </c>
      <c r="D5" s="143" t="s">
        <v>423</v>
      </c>
      <c r="E5" s="142">
        <f>E2+E3</f>
        <v>224120.10000000001</v>
      </c>
      <c r="F5" s="150">
        <f ca="1">(MONTH(TODAY())+3)/15</f>
        <v>0.40000000000000002</v>
      </c>
      <c r="I5" s="151" t="s">
        <v>424</v>
      </c>
      <c r="J5" s="151" t="s">
        <v>425</v>
      </c>
      <c r="K5" s="151" t="s">
        <v>426</v>
      </c>
      <c r="L5" s="152"/>
      <c r="N5" s="86" t="s">
        <v>236</v>
      </c>
      <c r="O5">
        <v>39128</v>
      </c>
      <c r="P5">
        <v>39128</v>
      </c>
    </row>
    <row r="6">
      <c r="A6" s="141" t="s">
        <v>427</v>
      </c>
      <c r="B6" s="149">
        <f>B2/B5</f>
        <v>1</v>
      </c>
      <c r="H6" s="153" t="s">
        <v>428</v>
      </c>
      <c r="I6" s="142">
        <f>0.85*(E5-I2-I3)</f>
        <v>28271.085000000003</v>
      </c>
      <c r="J6" s="142">
        <f>0.85*(E5-I2-J3)</f>
        <v>31426.285000000003</v>
      </c>
      <c r="K6" s="154">
        <f>0.85*(E5+F9-K2-K3)</f>
        <v>43481.970405</v>
      </c>
      <c r="L6" s="155">
        <f>L7+L8+L10</f>
        <v>1</v>
      </c>
      <c r="N6" s="90" t="s">
        <v>237</v>
      </c>
      <c r="O6">
        <v>12863</v>
      </c>
      <c r="P6">
        <v>12863</v>
      </c>
    </row>
    <row r="7">
      <c r="D7" s="11"/>
      <c r="F7" s="148" t="s">
        <v>429</v>
      </c>
      <c r="G7" s="61"/>
      <c r="H7" s="156" t="s">
        <v>430</v>
      </c>
      <c r="I7" s="157">
        <f>I6*L7</f>
        <v>9470.8134750000008</v>
      </c>
      <c r="J7" s="157">
        <f>J6*L7</f>
        <v>10527.805475000001</v>
      </c>
      <c r="K7" s="157">
        <f>K6*L7</f>
        <v>14566.460085675</v>
      </c>
      <c r="L7" s="158">
        <v>0.33500000000000002</v>
      </c>
      <c r="N7" s="90" t="s">
        <v>238</v>
      </c>
      <c r="O7">
        <v>8470</v>
      </c>
      <c r="P7">
        <v>8470</v>
      </c>
    </row>
    <row r="8">
      <c r="A8" s="141" t="s">
        <v>431</v>
      </c>
      <c r="B8" s="148">
        <f>COUNTIF('Factures 2022-2023'!H:H,"oui")</f>
        <v>153</v>
      </c>
      <c r="F8" s="159">
        <v>2</v>
      </c>
      <c r="G8" s="61"/>
      <c r="H8" s="160" t="s">
        <v>267</v>
      </c>
      <c r="I8" s="161">
        <f>L8*I6/1.42</f>
        <v>6669.5869542253531</v>
      </c>
      <c r="J8" s="161">
        <f>L8*J6/1.42</f>
        <v>7413.9475176056349</v>
      </c>
      <c r="K8" s="161">
        <f>L8*K6/1.42</f>
        <v>10258.07048286972</v>
      </c>
      <c r="L8" s="162">
        <v>0.33500000000000002</v>
      </c>
      <c r="N8" s="90" t="s">
        <v>239</v>
      </c>
      <c r="O8">
        <v>17795</v>
      </c>
      <c r="P8">
        <v>17795</v>
      </c>
    </row>
    <row r="9">
      <c r="A9" s="141" t="s">
        <v>432</v>
      </c>
      <c r="B9" s="148">
        <f>COUNTIF('Factures 2022-2023'!H:H,"non")</f>
        <v>0</v>
      </c>
      <c r="E9" s="163" t="s">
        <v>433</v>
      </c>
      <c r="F9" s="142">
        <f>400*200*(F8-2)</f>
        <v>0</v>
      </c>
      <c r="G9" s="61"/>
      <c r="H9" s="164" t="s">
        <v>256</v>
      </c>
      <c r="I9" s="165">
        <f>I6*L8-I8</f>
        <v>2801.2265207746477</v>
      </c>
      <c r="J9" s="165">
        <f>J6*L8-J8</f>
        <v>3113.8579573943662</v>
      </c>
      <c r="K9" s="165">
        <f>K6*L8-K8</f>
        <v>4308.3896028052804</v>
      </c>
      <c r="N9" s="84" t="s">
        <v>434</v>
      </c>
      <c r="O9">
        <v>184992.10000000001</v>
      </c>
      <c r="P9">
        <v>184992.10000000001</v>
      </c>
    </row>
    <row r="10">
      <c r="A10" s="141" t="s">
        <v>435</v>
      </c>
      <c r="B10" s="148">
        <f>COUNTIF('Factures 2022-2023'!H:H,"prev")</f>
        <v>0</v>
      </c>
      <c r="G10" s="61"/>
      <c r="H10" s="166" t="s">
        <v>436</v>
      </c>
      <c r="I10" s="167">
        <f>I6*L10*0.7</f>
        <v>6530.6206350000002</v>
      </c>
      <c r="J10" s="167">
        <f>J6*L10*0.7</f>
        <v>7259.4718350000003</v>
      </c>
      <c r="K10" s="167">
        <f>K6*L10*0.7</f>
        <v>10044.335163555001</v>
      </c>
      <c r="L10" s="168">
        <f>1-L7-L8</f>
        <v>0.33000000000000002</v>
      </c>
      <c r="N10" s="86" t="s">
        <v>220</v>
      </c>
      <c r="O10">
        <v>45408.75</v>
      </c>
      <c r="P10">
        <v>45408.75</v>
      </c>
    </row>
    <row r="11">
      <c r="G11" s="61"/>
      <c r="H11" s="164" t="s">
        <v>271</v>
      </c>
      <c r="I11" s="165">
        <f>0.3*L10*I6</f>
        <v>2798.8374150000004</v>
      </c>
      <c r="J11" s="165">
        <f>0.3*L10*J6</f>
        <v>3111.2022150000007</v>
      </c>
      <c r="K11" s="165">
        <f>0.3*L10*K6</f>
        <v>4304.7150700950006</v>
      </c>
      <c r="N11" s="90" t="s">
        <v>222</v>
      </c>
      <c r="O11">
        <v>14525</v>
      </c>
      <c r="P11">
        <v>14525</v>
      </c>
    </row>
    <row r="12">
      <c r="D12" t="s">
        <v>1</v>
      </c>
      <c r="E12" t="s">
        <v>257</v>
      </c>
      <c r="H12" s="166" t="s">
        <v>437</v>
      </c>
      <c r="I12" s="169">
        <f>I10+I8</f>
        <v>13200.207589225352</v>
      </c>
      <c r="J12" s="169">
        <f>J10+J8</f>
        <v>14673.419352605635</v>
      </c>
      <c r="K12" s="170">
        <f>K10+K8</f>
        <v>20302.405646424719</v>
      </c>
      <c r="L12" s="61"/>
      <c r="N12" s="90" t="s">
        <v>224</v>
      </c>
      <c r="O12">
        <v>11209</v>
      </c>
      <c r="P12">
        <v>11209</v>
      </c>
    </row>
    <row r="13">
      <c r="D13" s="84" t="s">
        <v>228</v>
      </c>
      <c r="G13" s="61"/>
      <c r="N13" s="90" t="s">
        <v>225</v>
      </c>
      <c r="O13">
        <v>19674.75</v>
      </c>
      <c r="P13">
        <v>19674.75</v>
      </c>
    </row>
    <row r="14">
      <c r="D14" s="84" t="s">
        <v>385</v>
      </c>
      <c r="E14">
        <v>200</v>
      </c>
      <c r="K14" s="61"/>
      <c r="L14" s="61"/>
      <c r="N14" s="86" t="s">
        <v>226</v>
      </c>
      <c r="O14">
        <v>53799.720000000001</v>
      </c>
      <c r="P14">
        <v>53799.720000000001</v>
      </c>
    </row>
    <row r="15">
      <c r="D15" s="84" t="s">
        <v>286</v>
      </c>
      <c r="E15">
        <v>900</v>
      </c>
      <c r="J15" s="143" t="s">
        <v>438</v>
      </c>
      <c r="K15" s="61"/>
      <c r="L15" s="61"/>
      <c r="N15" s="90" t="s">
        <v>227</v>
      </c>
      <c r="O15">
        <v>18292.5</v>
      </c>
      <c r="P15">
        <v>18292.5</v>
      </c>
    </row>
    <row r="16">
      <c r="D16" s="84" t="s">
        <v>105</v>
      </c>
      <c r="E16">
        <v>1500</v>
      </c>
      <c r="G16" s="171" t="s">
        <v>439</v>
      </c>
      <c r="H16" s="172">
        <f>'Charges 2024'!B2</f>
        <v>8310</v>
      </c>
      <c r="I16" s="172">
        <f>'Charges 2024'!C2</f>
        <v>8310</v>
      </c>
      <c r="J16" s="142">
        <f t="shared" ref="J16:J17" si="76">AVERAGE(H16:I16)</f>
        <v>8310</v>
      </c>
      <c r="L16" s="61"/>
      <c r="N16" s="90" t="s">
        <v>229</v>
      </c>
      <c r="O16">
        <v>17585.220000000001</v>
      </c>
      <c r="P16">
        <v>17585.220000000001</v>
      </c>
    </row>
    <row r="17">
      <c r="D17" s="84" t="s">
        <v>389</v>
      </c>
      <c r="E17">
        <v>2400</v>
      </c>
      <c r="G17" s="171" t="s">
        <v>440</v>
      </c>
      <c r="H17" s="172">
        <f>'Charges 2024'!B3</f>
        <v>500</v>
      </c>
      <c r="I17" s="172">
        <f>'Charges 2024'!C3</f>
        <v>288</v>
      </c>
      <c r="J17" s="142">
        <f t="shared" si="76"/>
        <v>394</v>
      </c>
      <c r="L17" s="61"/>
      <c r="N17" s="90" t="s">
        <v>230</v>
      </c>
      <c r="O17">
        <v>17922</v>
      </c>
      <c r="P17">
        <v>17922</v>
      </c>
    </row>
    <row r="18">
      <c r="D18" s="84" t="s">
        <v>365</v>
      </c>
      <c r="E18">
        <v>6800</v>
      </c>
      <c r="G18" s="171" t="s">
        <v>441</v>
      </c>
      <c r="H18" s="172">
        <f>'Charges 2024'!B4</f>
        <v>1800</v>
      </c>
      <c r="I18" s="172">
        <f>'Charges 2024'!C4</f>
        <v>1800</v>
      </c>
      <c r="J18" s="142">
        <f>AVERAGE(H18:I18)*F8/2</f>
        <v>1800</v>
      </c>
      <c r="L18" s="61"/>
      <c r="N18" s="86" t="s">
        <v>231</v>
      </c>
      <c r="O18">
        <v>39345</v>
      </c>
      <c r="P18">
        <v>39345</v>
      </c>
    </row>
    <row r="19">
      <c r="D19" s="84" t="s">
        <v>45</v>
      </c>
      <c r="E19">
        <v>7300</v>
      </c>
      <c r="G19" s="171" t="s">
        <v>442</v>
      </c>
      <c r="H19" s="172">
        <f>'Charges 2024'!B5</f>
        <v>800</v>
      </c>
      <c r="I19" s="172">
        <f>'Charges 2024'!C5</f>
        <v>800</v>
      </c>
      <c r="J19" s="142">
        <f t="shared" ref="J19:J27" si="77">AVERAGE(H19:I19)</f>
        <v>800</v>
      </c>
      <c r="L19" s="61"/>
      <c r="N19" s="90" t="s">
        <v>232</v>
      </c>
      <c r="O19">
        <v>17555</v>
      </c>
      <c r="P19">
        <v>17555</v>
      </c>
    </row>
    <row r="20">
      <c r="D20" s="84" t="s">
        <v>276</v>
      </c>
      <c r="E20">
        <v>10270</v>
      </c>
      <c r="G20" s="171" t="s">
        <v>443</v>
      </c>
      <c r="H20" s="172">
        <f>'Charges 2024'!B6</f>
        <v>3000</v>
      </c>
      <c r="I20" s="172">
        <f>'Charges 2024'!C6</f>
        <v>1500</v>
      </c>
      <c r="J20" s="142">
        <f>AVERAGE(H20:I20)*F8/2</f>
        <v>2250</v>
      </c>
      <c r="L20" s="61"/>
      <c r="N20" s="90" t="s">
        <v>234</v>
      </c>
      <c r="O20">
        <v>6920</v>
      </c>
      <c r="P20">
        <v>6920</v>
      </c>
    </row>
    <row r="21">
      <c r="D21" s="84" t="s">
        <v>341</v>
      </c>
      <c r="E21">
        <v>19800</v>
      </c>
      <c r="G21" s="171" t="s">
        <v>444</v>
      </c>
      <c r="H21" s="172">
        <f>'Charges 2024'!B7</f>
        <v>1800</v>
      </c>
      <c r="I21" s="172">
        <f>'Charges 2024'!C7</f>
        <v>1800</v>
      </c>
      <c r="J21" s="142">
        <f>AVERAGE(H21:I21)*F8/2</f>
        <v>1800</v>
      </c>
      <c r="L21" s="61"/>
      <c r="N21" s="90" t="s">
        <v>235</v>
      </c>
      <c r="O21">
        <v>14870</v>
      </c>
      <c r="P21">
        <v>14870</v>
      </c>
    </row>
    <row r="22">
      <c r="D22" s="84" t="s">
        <v>151</v>
      </c>
      <c r="E22">
        <v>26596.130000000005</v>
      </c>
      <c r="G22" s="171" t="s">
        <v>445</v>
      </c>
      <c r="H22" s="172">
        <f>'Charges 2024'!B8</f>
        <v>1500</v>
      </c>
      <c r="I22" s="172">
        <f>'Charges 2024'!C8</f>
        <v>1500</v>
      </c>
      <c r="J22" s="142">
        <f t="shared" si="77"/>
        <v>1500</v>
      </c>
      <c r="K22" s="61"/>
      <c r="L22" s="61"/>
      <c r="N22" s="86" t="s">
        <v>236</v>
      </c>
      <c r="O22">
        <v>46438.629999999997</v>
      </c>
      <c r="P22">
        <v>46438.629999999997</v>
      </c>
    </row>
    <row r="23">
      <c r="A23" t="s">
        <v>446</v>
      </c>
      <c r="B23" t="s">
        <v>257</v>
      </c>
      <c r="D23" s="84" t="s">
        <v>26</v>
      </c>
      <c r="E23">
        <v>29250</v>
      </c>
      <c r="G23" s="171" t="s">
        <v>447</v>
      </c>
      <c r="H23" s="172">
        <f>'Charges 2024'!B9</f>
        <v>4530</v>
      </c>
      <c r="I23" s="172">
        <f>'Charges 2024'!C9</f>
        <v>4530</v>
      </c>
      <c r="J23" s="142">
        <f>AVERAGE(H23:I23)*(F8)/2</f>
        <v>4530</v>
      </c>
      <c r="K23" s="61"/>
      <c r="L23" s="61"/>
      <c r="N23" s="90" t="s">
        <v>237</v>
      </c>
      <c r="O23">
        <v>16710</v>
      </c>
      <c r="P23">
        <v>16710</v>
      </c>
    </row>
    <row r="24">
      <c r="A24" s="84" t="s">
        <v>17</v>
      </c>
      <c r="B24">
        <v>111931.97</v>
      </c>
      <c r="D24" s="84" t="s">
        <v>107</v>
      </c>
      <c r="E24">
        <v>31950</v>
      </c>
      <c r="G24" s="171" t="s">
        <v>448</v>
      </c>
      <c r="H24" s="172">
        <f>'Charges 2024'!B10</f>
        <v>1400</v>
      </c>
      <c r="I24" s="172">
        <f>'Charges 2024'!C10</f>
        <v>1400</v>
      </c>
      <c r="J24" s="142">
        <f>0.007*(E5+F9)</f>
        <v>1568.8407</v>
      </c>
      <c r="K24" s="61"/>
      <c r="L24" s="61"/>
      <c r="N24" s="90" t="s">
        <v>238</v>
      </c>
      <c r="O24">
        <v>12735</v>
      </c>
      <c r="P24">
        <v>12735</v>
      </c>
    </row>
    <row r="25">
      <c r="A25" s="84" t="s">
        <v>13</v>
      </c>
      <c r="B25">
        <v>108188.13</v>
      </c>
      <c r="D25" s="84" t="s">
        <v>12</v>
      </c>
      <c r="E25">
        <v>39052.5</v>
      </c>
      <c r="G25" s="171" t="s">
        <v>449</v>
      </c>
      <c r="H25" s="172">
        <f>'Charges 2024'!B11</f>
        <v>2400</v>
      </c>
      <c r="I25" s="172">
        <f>'Charges 2024'!C11</f>
        <v>1200</v>
      </c>
      <c r="J25" s="142">
        <f>AVERAGE(H25:I25)</f>
        <v>1800</v>
      </c>
      <c r="K25" s="61"/>
      <c r="L25" s="61"/>
      <c r="N25" s="90" t="s">
        <v>239</v>
      </c>
      <c r="O25">
        <v>16993.629999999997</v>
      </c>
      <c r="P25">
        <v>16993.629999999997</v>
      </c>
    </row>
    <row r="26">
      <c r="A26" s="84" t="s">
        <v>228</v>
      </c>
      <c r="D26" s="84" t="s">
        <v>19</v>
      </c>
      <c r="E26">
        <v>48101.470000000001</v>
      </c>
      <c r="G26" s="171" t="s">
        <v>450</v>
      </c>
      <c r="H26" s="172">
        <f>'Charges 2024'!B12</f>
        <v>1000</v>
      </c>
      <c r="I26" s="172">
        <f>'Charges 2024'!C12</f>
        <v>500</v>
      </c>
      <c r="J26" s="142">
        <f t="shared" si="77"/>
        <v>750</v>
      </c>
      <c r="K26" s="61"/>
      <c r="L26" s="61"/>
      <c r="N26" s="84" t="s">
        <v>215</v>
      </c>
      <c r="O26">
        <v>224120.10000000001</v>
      </c>
      <c r="P26">
        <v>224120.10000000001</v>
      </c>
    </row>
    <row r="27">
      <c r="A27" s="84" t="s">
        <v>367</v>
      </c>
      <c r="B27">
        <v>4000</v>
      </c>
      <c r="D27" s="84" t="s">
        <v>215</v>
      </c>
      <c r="E27">
        <v>224120.10000000001</v>
      </c>
      <c r="G27" s="171" t="s">
        <v>451</v>
      </c>
      <c r="H27" s="172">
        <f>'Charges 2024'!B13</f>
        <v>500</v>
      </c>
      <c r="I27" s="172">
        <f>'Charges 2024'!C13</f>
        <v>200</v>
      </c>
      <c r="J27" s="142">
        <f t="shared" si="77"/>
        <v>350</v>
      </c>
      <c r="K27" s="61"/>
    </row>
    <row r="28">
      <c r="A28" s="84" t="s">
        <v>215</v>
      </c>
      <c r="B28">
        <v>224120.10000000001</v>
      </c>
      <c r="G28" s="171" t="s">
        <v>452</v>
      </c>
      <c r="H28" s="172">
        <f>'Charges 2024'!B14</f>
        <v>2193.75</v>
      </c>
      <c r="I28" s="172">
        <f>'Charges 2024'!C14</f>
        <v>1755</v>
      </c>
      <c r="J28" s="142">
        <v>0</v>
      </c>
    </row>
    <row r="29">
      <c r="G29" s="171" t="s">
        <v>453</v>
      </c>
      <c r="H29" s="172">
        <f>'Charges 2024'!B15</f>
        <v>4422.5</v>
      </c>
      <c r="I29" s="172">
        <f>'Charges 2024'!C15</f>
        <v>3538</v>
      </c>
      <c r="J29" s="142">
        <v>0</v>
      </c>
    </row>
    <row r="33">
      <c r="A33" s="11" t="s">
        <v>265</v>
      </c>
      <c r="B33" s="173">
        <v>35178.150000000001</v>
      </c>
    </row>
    <row r="34">
      <c r="A34" s="11" t="s">
        <v>454</v>
      </c>
      <c r="B34" s="174">
        <f>C34*B33</f>
        <v>11784.680250000001</v>
      </c>
      <c r="C34" s="175">
        <v>0.33500000000000002</v>
      </c>
    </row>
    <row r="35">
      <c r="A35" s="11" t="s">
        <v>455</v>
      </c>
      <c r="B35" s="174">
        <f>C35*B33</f>
        <v>11784.680250000001</v>
      </c>
      <c r="C35" s="175">
        <v>0.33500000000000002</v>
      </c>
      <c r="P35" s="90" t="s">
        <v>237</v>
      </c>
      <c r="Q35">
        <v>12863</v>
      </c>
      <c r="R35">
        <f t="shared" ref="R35:R51" si="78">Q35/S35*100</f>
        <v>8.2185391535473311</v>
      </c>
      <c r="S35">
        <f t="shared" ref="S35:S37" si="79">39128*12/3</f>
        <v>156512</v>
      </c>
    </row>
    <row r="36">
      <c r="A36" t="s">
        <v>17</v>
      </c>
      <c r="B36" s="176">
        <f>(B35-B38)/2</f>
        <v>5515.8401250000006</v>
      </c>
      <c r="C36" s="136">
        <f>B36/B35</f>
        <v>0.46805174243060182</v>
      </c>
      <c r="P36" s="90" t="s">
        <v>238</v>
      </c>
      <c r="Q36">
        <v>8470</v>
      </c>
      <c r="R36">
        <f t="shared" si="78"/>
        <v>5.4117256184829277</v>
      </c>
      <c r="S36">
        <f t="shared" si="79"/>
        <v>156512</v>
      </c>
    </row>
    <row r="37">
      <c r="A37" t="s">
        <v>78</v>
      </c>
      <c r="B37" s="176">
        <f>(B35-B38)/2</f>
        <v>5515.8401250000006</v>
      </c>
      <c r="C37" s="136">
        <f>B37/B35</f>
        <v>0.46805174243060182</v>
      </c>
      <c r="P37" s="90" t="s">
        <v>239</v>
      </c>
      <c r="Q37">
        <v>17795</v>
      </c>
      <c r="R37">
        <f t="shared" si="78"/>
        <v>11.369735227969741</v>
      </c>
      <c r="S37">
        <f t="shared" si="79"/>
        <v>156512</v>
      </c>
    </row>
    <row r="38">
      <c r="A38" t="s">
        <v>367</v>
      </c>
      <c r="B38" s="177">
        <v>753</v>
      </c>
      <c r="C38" s="136">
        <f>B38/B35</f>
        <v>0.063896515138796392</v>
      </c>
      <c r="P38" s="84"/>
    </row>
    <row r="39">
      <c r="A39" s="11" t="s">
        <v>268</v>
      </c>
      <c r="B39" s="174">
        <f>B33*C39</f>
        <v>11608.789500000001</v>
      </c>
      <c r="C39" s="127">
        <f>100%-C34-C35</f>
        <v>0.33000000000000002</v>
      </c>
      <c r="P39" s="86"/>
    </row>
    <row r="40">
      <c r="A40" t="s">
        <v>17</v>
      </c>
      <c r="B40" s="176">
        <f>B39*0.85*0.7/2</f>
        <v>3453.6148762500002</v>
      </c>
      <c r="P40" s="90" t="s">
        <v>222</v>
      </c>
      <c r="Q40">
        <v>14525</v>
      </c>
      <c r="R40">
        <f t="shared" si="78"/>
        <v>7.8874430115272869</v>
      </c>
      <c r="S40">
        <v>184153.47</v>
      </c>
    </row>
    <row r="41">
      <c r="A41" t="s">
        <v>78</v>
      </c>
      <c r="B41" s="176">
        <f>B39*0.85*0.7/2</f>
        <v>3453.6148762500002</v>
      </c>
      <c r="P41" s="90" t="s">
        <v>224</v>
      </c>
      <c r="Q41">
        <v>11209</v>
      </c>
      <c r="R41">
        <f t="shared" si="78"/>
        <v>6.0867709959524525</v>
      </c>
      <c r="S41">
        <v>184153.47</v>
      </c>
    </row>
    <row r="42">
      <c r="P42" s="90" t="s">
        <v>225</v>
      </c>
      <c r="Q42">
        <v>19674.75</v>
      </c>
      <c r="R42">
        <f t="shared" si="78"/>
        <v>10.68388773776568</v>
      </c>
      <c r="S42">
        <v>184153.47</v>
      </c>
    </row>
    <row r="43">
      <c r="A43" t="s">
        <v>270</v>
      </c>
      <c r="B43">
        <f>0.15*B39</f>
        <v>1741.3184250000002</v>
      </c>
      <c r="P43" s="90" t="s">
        <v>227</v>
      </c>
      <c r="Q43">
        <v>18292.5</v>
      </c>
      <c r="R43">
        <f t="shared" si="78"/>
        <v>9.9332909664965854</v>
      </c>
      <c r="S43">
        <v>184153.47</v>
      </c>
    </row>
    <row r="44">
      <c r="P44" s="90" t="s">
        <v>229</v>
      </c>
      <c r="Q44">
        <v>17585.220000000001</v>
      </c>
      <c r="R44">
        <f t="shared" si="78"/>
        <v>9.5492200065521455</v>
      </c>
      <c r="S44">
        <v>184153.47</v>
      </c>
    </row>
    <row r="45">
      <c r="A45" t="s">
        <v>456</v>
      </c>
      <c r="B45" s="176">
        <f t="shared" ref="B45:B46" si="80">B36+B40</f>
        <v>8969.4550012500004</v>
      </c>
      <c r="P45" s="90" t="s">
        <v>230</v>
      </c>
      <c r="Q45">
        <v>17922</v>
      </c>
      <c r="R45">
        <f t="shared" si="78"/>
        <v>9.7321000793522927</v>
      </c>
      <c r="S45">
        <v>184153.47</v>
      </c>
    </row>
    <row r="46">
      <c r="A46" t="s">
        <v>457</v>
      </c>
      <c r="B46" s="176">
        <f t="shared" si="80"/>
        <v>8969.4550012500004</v>
      </c>
      <c r="P46" s="90" t="s">
        <v>232</v>
      </c>
      <c r="Q46">
        <v>17555</v>
      </c>
      <c r="R46">
        <f t="shared" si="78"/>
        <v>9.5328097808854757</v>
      </c>
      <c r="S46">
        <v>184153.47</v>
      </c>
    </row>
    <row r="47">
      <c r="B47" s="178"/>
      <c r="P47" s="90" t="s">
        <v>234</v>
      </c>
      <c r="Q47">
        <v>6920</v>
      </c>
      <c r="R47">
        <f t="shared" si="78"/>
        <v>3.7577353280391619</v>
      </c>
      <c r="S47">
        <v>184153.47</v>
      </c>
    </row>
    <row r="48">
      <c r="B48" s="178"/>
      <c r="P48" s="90" t="s">
        <v>235</v>
      </c>
      <c r="Q48">
        <v>14870</v>
      </c>
      <c r="R48">
        <f t="shared" si="78"/>
        <v>8.0747867525928232</v>
      </c>
      <c r="S48">
        <v>184153.47</v>
      </c>
    </row>
    <row r="49">
      <c r="P49" s="90" t="s">
        <v>237</v>
      </c>
      <c r="Q49">
        <v>16710</v>
      </c>
      <c r="R49">
        <f t="shared" si="78"/>
        <v>9.0739533716090168</v>
      </c>
      <c r="S49">
        <v>184153.47</v>
      </c>
    </row>
    <row r="50">
      <c r="P50" s="90" t="s">
        <v>238</v>
      </c>
      <c r="Q50">
        <v>12775</v>
      </c>
      <c r="R50">
        <f t="shared" si="78"/>
        <v>6.9371486727890606</v>
      </c>
      <c r="S50">
        <v>184153.47</v>
      </c>
    </row>
    <row r="51">
      <c r="P51" s="90" t="s">
        <v>239</v>
      </c>
      <c r="Q51">
        <v>16115</v>
      </c>
      <c r="R51">
        <f t="shared" si="78"/>
        <v>8.7508532964380201</v>
      </c>
      <c r="S51">
        <v>184153.47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between" id="{00830044-004D-41FA-84F3-00C5002900E2}">
            <xm:f>$F$5-3%</xm:f>
            <xm:f>$F$5+3%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9" operator="lessThan" id="{001B0037-003F-4F63-9447-0090009500C6}">
            <xm:f>$F$5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8" operator="greaterThan" id="{000000AA-00AE-42E7-8A52-008E00F100EF}">
            <xm:f>$F$5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15" operator="lessThan" id="{0046003F-0071-4B64-BF30-006100B700D2}">
            <xm:f>50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cellIs" priority="13" operator="greaterThan" id="{00180018-0009-4352-9800-00C50004009A}">
            <xm:f>75%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cellIs" priority="11" operator="between" id="{00D6001D-0092-4FE7-A4A0-005A00A8009E}">
            <xm:f>0.5</xm:f>
            <xm:f>0.75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B6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F9" activeCellId="0" sqref="F9"/>
    </sheetView>
  </sheetViews>
  <sheetFormatPr baseColWidth="10" defaultRowHeight="14.25"/>
  <cols>
    <col bestFit="1" customWidth="1" min="1" max="1" width="28.7109375"/>
    <col customWidth="1" min="2" max="2" width="16.28125"/>
    <col customWidth="1" min="3" max="3" width="14.140625"/>
    <col customWidth="1" min="4" max="4" width="16.140625"/>
    <col customWidth="1" min="5" max="5" width="17.8515625"/>
    <col bestFit="1" min="6" max="6" width="16"/>
    <col customWidth="1" min="8" max="8" style="28" width="16.140625"/>
    <col bestFit="1" min="9" max="9" width="12.28125"/>
    <col bestFit="1" min="16" max="16" width="44.421875"/>
  </cols>
  <sheetData>
    <row r="1">
      <c r="A1" t="s">
        <v>458</v>
      </c>
      <c r="B1" s="11" t="s">
        <v>459</v>
      </c>
      <c r="C1" s="11" t="s">
        <v>460</v>
      </c>
      <c r="E1" s="11">
        <v>2024</v>
      </c>
      <c r="G1" t="s">
        <v>461</v>
      </c>
      <c r="H1" s="28" t="s">
        <v>462</v>
      </c>
      <c r="J1" t="s">
        <v>233</v>
      </c>
      <c r="M1" s="179" t="s">
        <v>463</v>
      </c>
      <c r="N1" s="84"/>
      <c r="O1" s="84"/>
      <c r="P1" s="84"/>
      <c r="Q1" s="84"/>
      <c r="R1" s="84"/>
      <c r="S1" s="84"/>
      <c r="T1" s="84"/>
    </row>
    <row r="2">
      <c r="A2" s="171" t="s">
        <v>439</v>
      </c>
      <c r="B2" s="172">
        <f>3630+1800+2880</f>
        <v>8310</v>
      </c>
      <c r="C2" s="172">
        <f>B2</f>
        <v>8310</v>
      </c>
      <c r="E2" s="5">
        <v>4000</v>
      </c>
      <c r="F2" t="s">
        <v>464</v>
      </c>
      <c r="G2" s="33">
        <v>2385.71</v>
      </c>
      <c r="H2" s="28">
        <f>12/15*G2</f>
        <v>1908.5680000000002</v>
      </c>
      <c r="J2" s="33">
        <f>70*12</f>
        <v>840</v>
      </c>
      <c r="M2" s="179" t="s">
        <v>0</v>
      </c>
      <c r="N2" s="179" t="s">
        <v>465</v>
      </c>
      <c r="O2" s="179" t="s">
        <v>466</v>
      </c>
      <c r="P2" s="179" t="s">
        <v>467</v>
      </c>
      <c r="Q2" s="179" t="s">
        <v>468</v>
      </c>
      <c r="R2" s="179" t="s">
        <v>469</v>
      </c>
      <c r="S2" s="179" t="s">
        <v>470</v>
      </c>
      <c r="T2" s="179" t="s">
        <v>264</v>
      </c>
    </row>
    <row r="3" ht="38.25">
      <c r="A3" s="171" t="s">
        <v>440</v>
      </c>
      <c r="B3" s="172">
        <v>500</v>
      </c>
      <c r="C3" s="172">
        <f>24*12</f>
        <v>288</v>
      </c>
      <c r="E3" s="5">
        <v>500</v>
      </c>
      <c r="F3" t="s">
        <v>471</v>
      </c>
      <c r="G3" s="33">
        <v>288.64999999999998</v>
      </c>
      <c r="H3" s="28">
        <f>100*12</f>
        <v>1200</v>
      </c>
      <c r="J3" s="33">
        <f>30*12</f>
        <v>360</v>
      </c>
      <c r="M3" s="180" t="s">
        <v>472</v>
      </c>
      <c r="N3" s="181" t="s">
        <v>473</v>
      </c>
      <c r="O3" s="182"/>
      <c r="P3" s="182"/>
      <c r="Q3" s="183"/>
      <c r="R3" s="183"/>
      <c r="S3" s="183"/>
      <c r="T3" s="183"/>
    </row>
    <row r="4">
      <c r="A4" s="171" t="s">
        <v>441</v>
      </c>
      <c r="B4" s="172">
        <f>70*15+40*15+25*6</f>
        <v>1800</v>
      </c>
      <c r="C4" s="172">
        <f t="shared" ref="C4:C10" si="81">B4</f>
        <v>1800</v>
      </c>
      <c r="E4" s="5">
        <f>80*12+25*12+40*12+159*12</f>
        <v>3648</v>
      </c>
      <c r="F4" t="s">
        <v>458</v>
      </c>
      <c r="G4" s="33">
        <v>26.399999999999999</v>
      </c>
      <c r="H4" s="28">
        <f>12/15*G4</f>
        <v>21.120000000000001</v>
      </c>
      <c r="J4" s="33"/>
      <c r="M4" s="184">
        <v>45321</v>
      </c>
      <c r="N4" s="185">
        <v>1</v>
      </c>
      <c r="O4" s="180" t="s">
        <v>474</v>
      </c>
      <c r="P4" s="180" t="s">
        <v>475</v>
      </c>
      <c r="Q4" s="185">
        <v>3600</v>
      </c>
      <c r="R4" s="183"/>
      <c r="S4" s="185">
        <v>0</v>
      </c>
      <c r="T4" s="185">
        <v>3600</v>
      </c>
    </row>
    <row r="5">
      <c r="A5" s="171" t="s">
        <v>442</v>
      </c>
      <c r="B5" s="172">
        <v>800</v>
      </c>
      <c r="C5" s="172">
        <f t="shared" si="81"/>
        <v>800</v>
      </c>
      <c r="E5" s="5">
        <v>800</v>
      </c>
      <c r="F5" t="s">
        <v>476</v>
      </c>
      <c r="G5" s="33">
        <v>469.29000000000002</v>
      </c>
      <c r="H5" s="28">
        <f>50*12</f>
        <v>600</v>
      </c>
      <c r="J5" s="33">
        <f>20*12</f>
        <v>240</v>
      </c>
      <c r="M5" s="184">
        <v>45342</v>
      </c>
      <c r="N5" s="185">
        <v>2</v>
      </c>
      <c r="O5" s="180" t="s">
        <v>474</v>
      </c>
      <c r="P5" s="180" t="s">
        <v>475</v>
      </c>
      <c r="Q5" s="185">
        <v>1600</v>
      </c>
      <c r="R5" s="183"/>
      <c r="S5" s="185">
        <v>0</v>
      </c>
      <c r="T5" s="185">
        <v>5200</v>
      </c>
    </row>
    <row r="6">
      <c r="A6" s="171" t="s">
        <v>443</v>
      </c>
      <c r="B6" s="172">
        <f>200*15</f>
        <v>3000</v>
      </c>
      <c r="C6" s="172">
        <f>100*15</f>
        <v>1500</v>
      </c>
      <c r="E6" s="5">
        <f>200*12</f>
        <v>2400</v>
      </c>
      <c r="F6" t="s">
        <v>477</v>
      </c>
      <c r="G6" s="33">
        <v>193.40000000000001</v>
      </c>
      <c r="H6" s="28">
        <f t="shared" ref="H6:H7" si="82">12/15*G6</f>
        <v>154.72000000000003</v>
      </c>
      <c r="J6" s="33"/>
      <c r="M6" s="184">
        <v>45505</v>
      </c>
      <c r="N6" s="180" t="s">
        <v>478</v>
      </c>
      <c r="O6" s="180" t="s">
        <v>474</v>
      </c>
      <c r="P6" s="180" t="s">
        <v>479</v>
      </c>
      <c r="Q6" s="185">
        <v>700</v>
      </c>
      <c r="R6" s="183"/>
      <c r="S6" s="185">
        <v>0</v>
      </c>
      <c r="T6" s="185">
        <v>5900</v>
      </c>
    </row>
    <row r="7" ht="25.5">
      <c r="A7" s="171" t="s">
        <v>444</v>
      </c>
      <c r="B7" s="172">
        <f>60*15*2</f>
        <v>1800</v>
      </c>
      <c r="C7" s="172">
        <f t="shared" si="81"/>
        <v>1800</v>
      </c>
      <c r="E7" s="5">
        <f>60*12</f>
        <v>720</v>
      </c>
      <c r="F7" t="s">
        <v>480</v>
      </c>
      <c r="G7" s="33">
        <v>335.10000000000002</v>
      </c>
      <c r="H7" s="28">
        <f t="shared" si="82"/>
        <v>268.08000000000004</v>
      </c>
      <c r="J7" s="33"/>
      <c r="M7" s="184">
        <v>45505</v>
      </c>
      <c r="N7" s="180" t="s">
        <v>481</v>
      </c>
      <c r="O7" s="180" t="s">
        <v>474</v>
      </c>
      <c r="P7" s="180" t="s">
        <v>482</v>
      </c>
      <c r="Q7" s="185">
        <v>3500</v>
      </c>
      <c r="R7" s="183"/>
      <c r="S7" s="185">
        <v>0</v>
      </c>
      <c r="T7" s="185">
        <v>9400</v>
      </c>
    </row>
    <row r="8">
      <c r="A8" s="171" t="s">
        <v>445</v>
      </c>
      <c r="B8" s="172">
        <v>1500</v>
      </c>
      <c r="C8" s="172">
        <f t="shared" si="81"/>
        <v>1500</v>
      </c>
      <c r="E8" s="5">
        <v>500</v>
      </c>
      <c r="F8" t="s">
        <v>483</v>
      </c>
      <c r="G8" s="33">
        <v>372</v>
      </c>
      <c r="H8" s="28">
        <f>0.007*200000+748</f>
        <v>2148</v>
      </c>
      <c r="J8" s="33"/>
      <c r="M8" s="184">
        <v>45548</v>
      </c>
      <c r="N8" s="180" t="s">
        <v>484</v>
      </c>
      <c r="O8" s="180" t="s">
        <v>474</v>
      </c>
      <c r="P8" s="180" t="s">
        <v>485</v>
      </c>
      <c r="Q8" s="185">
        <v>1750</v>
      </c>
      <c r="R8" s="183"/>
      <c r="S8" s="185">
        <v>0</v>
      </c>
      <c r="T8" s="185">
        <v>11150</v>
      </c>
    </row>
    <row r="9">
      <c r="A9" s="171" t="s">
        <v>447</v>
      </c>
      <c r="B9" s="172">
        <f>3600+700+230</f>
        <v>4530</v>
      </c>
      <c r="C9" s="172">
        <f t="shared" si="81"/>
        <v>4530</v>
      </c>
      <c r="E9" s="5">
        <f>3600+700+230</f>
        <v>4530</v>
      </c>
      <c r="F9" t="s">
        <v>233</v>
      </c>
      <c r="G9" s="33">
        <v>100</v>
      </c>
      <c r="H9" s="28">
        <f>12/15*G9</f>
        <v>80</v>
      </c>
      <c r="J9" s="33"/>
      <c r="M9" s="186" t="s">
        <v>242</v>
      </c>
      <c r="N9" s="183"/>
      <c r="O9" s="180"/>
      <c r="P9" s="180"/>
      <c r="Q9" s="185">
        <v>11150</v>
      </c>
      <c r="R9" s="183"/>
      <c r="S9" s="185">
        <v>0</v>
      </c>
      <c r="T9" s="185">
        <v>11150</v>
      </c>
    </row>
    <row r="10" ht="25.5">
      <c r="A10" s="171" t="s">
        <v>448</v>
      </c>
      <c r="B10" s="172">
        <f>0.007*200000</f>
        <v>1400</v>
      </c>
      <c r="C10" s="172">
        <f t="shared" si="81"/>
        <v>1400</v>
      </c>
      <c r="E10" s="5">
        <f>0.007*200000</f>
        <v>1400</v>
      </c>
      <c r="F10" t="s">
        <v>89</v>
      </c>
      <c r="G10" s="33">
        <v>2268</v>
      </c>
      <c r="H10" s="28">
        <f>324*6+216*6+108*3</f>
        <v>3564</v>
      </c>
      <c r="J10" s="33">
        <f>108*12</f>
        <v>1296</v>
      </c>
      <c r="M10" s="180" t="s">
        <v>486</v>
      </c>
      <c r="N10" s="181" t="s">
        <v>487</v>
      </c>
      <c r="O10" s="183"/>
      <c r="P10" s="183"/>
      <c r="Q10" s="180"/>
      <c r="R10" s="183"/>
      <c r="S10" s="180"/>
      <c r="T10" s="180"/>
    </row>
    <row r="11" ht="51">
      <c r="A11" s="171" t="s">
        <v>449</v>
      </c>
      <c r="B11" s="172">
        <f>400*6</f>
        <v>2400</v>
      </c>
      <c r="C11" s="172">
        <f>200*6</f>
        <v>1200</v>
      </c>
      <c r="E11" s="5">
        <f>200*12</f>
        <v>2400</v>
      </c>
      <c r="F11" t="s">
        <v>84</v>
      </c>
      <c r="G11" s="33">
        <v>2548.1999999999998</v>
      </c>
      <c r="H11" s="28">
        <f>269*4+300*6+200*6+100*3</f>
        <v>4376</v>
      </c>
      <c r="J11" s="33">
        <f>89*4+100*12</f>
        <v>1556</v>
      </c>
      <c r="M11" s="184">
        <v>45322</v>
      </c>
      <c r="N11" s="180"/>
      <c r="O11" s="180" t="s">
        <v>474</v>
      </c>
      <c r="P11" s="180" t="s">
        <v>488</v>
      </c>
      <c r="Q11" s="185">
        <v>191.65000000000001</v>
      </c>
      <c r="R11" s="183"/>
      <c r="S11" s="185">
        <v>0</v>
      </c>
      <c r="T11" s="185">
        <v>191.65000000000001</v>
      </c>
    </row>
    <row r="12" ht="25.5">
      <c r="A12" s="171" t="s">
        <v>450</v>
      </c>
      <c r="B12" s="172">
        <v>1000</v>
      </c>
      <c r="C12" s="172">
        <v>500</v>
      </c>
      <c r="E12" s="5">
        <v>1000</v>
      </c>
      <c r="F12" t="s">
        <v>84</v>
      </c>
      <c r="G12" s="33">
        <v>590</v>
      </c>
      <c r="H12" s="28">
        <f>G12</f>
        <v>590</v>
      </c>
      <c r="J12" s="33">
        <v>150</v>
      </c>
      <c r="M12" s="184">
        <v>45322</v>
      </c>
      <c r="N12" s="180"/>
      <c r="O12" s="180" t="s">
        <v>474</v>
      </c>
      <c r="P12" s="180" t="s">
        <v>489</v>
      </c>
      <c r="Q12" s="185">
        <v>189.91999999999999</v>
      </c>
      <c r="R12" s="183"/>
      <c r="S12" s="185">
        <v>0</v>
      </c>
      <c r="T12" s="185">
        <v>381.56999999999999</v>
      </c>
    </row>
    <row r="13" ht="25.5">
      <c r="A13" s="171" t="s">
        <v>451</v>
      </c>
      <c r="B13" s="172">
        <v>500</v>
      </c>
      <c r="C13" s="172">
        <v>200</v>
      </c>
      <c r="E13" s="5">
        <v>500</v>
      </c>
      <c r="F13" t="s">
        <v>490</v>
      </c>
      <c r="G13" s="33">
        <v>339.41000000000003</v>
      </c>
      <c r="H13" s="28">
        <f>12/15*G13</f>
        <v>271.52800000000002</v>
      </c>
      <c r="J13" s="33"/>
      <c r="M13" s="184">
        <v>45596</v>
      </c>
      <c r="N13" s="180"/>
      <c r="O13" s="180" t="s">
        <v>474</v>
      </c>
      <c r="P13" s="180" t="s">
        <v>491</v>
      </c>
      <c r="Q13" s="185">
        <v>66.659999999999997</v>
      </c>
      <c r="R13" s="183"/>
      <c r="S13" s="185">
        <v>0</v>
      </c>
      <c r="T13" s="185">
        <v>448.23000000000002</v>
      </c>
    </row>
    <row r="14" ht="51">
      <c r="A14" s="171" t="s">
        <v>452</v>
      </c>
      <c r="B14" s="172">
        <f>1755*15/12</f>
        <v>2193.75</v>
      </c>
      <c r="C14" s="172">
        <v>1755</v>
      </c>
      <c r="E14" s="5">
        <v>1755</v>
      </c>
      <c r="F14" t="s">
        <v>492</v>
      </c>
      <c r="G14" s="33">
        <v>4800</v>
      </c>
      <c r="H14" s="28">
        <v>4000</v>
      </c>
      <c r="J14" s="33"/>
      <c r="M14" s="186" t="s">
        <v>242</v>
      </c>
      <c r="N14" s="180"/>
      <c r="O14" s="180"/>
      <c r="P14" s="180"/>
      <c r="Q14" s="185">
        <v>448.23000000000002</v>
      </c>
      <c r="R14" s="183"/>
      <c r="S14" s="185">
        <v>0</v>
      </c>
      <c r="T14" s="185">
        <v>448.23000000000002</v>
      </c>
    </row>
    <row r="15" ht="51">
      <c r="A15" s="171" t="s">
        <v>453</v>
      </c>
      <c r="B15" s="172">
        <f>3538*15/12</f>
        <v>4422.5</v>
      </c>
      <c r="C15" s="172">
        <v>3538</v>
      </c>
      <c r="E15" s="5">
        <v>3538</v>
      </c>
      <c r="F15" t="s">
        <v>493</v>
      </c>
      <c r="G15" s="33">
        <v>3000</v>
      </c>
      <c r="H15" s="28">
        <f>618*4+1300</f>
        <v>3772</v>
      </c>
      <c r="J15" s="33"/>
      <c r="M15" s="186" t="s">
        <v>494</v>
      </c>
      <c r="N15" s="181" t="s">
        <v>495</v>
      </c>
      <c r="O15" s="181"/>
      <c r="P15" s="180"/>
      <c r="Q15" s="180"/>
      <c r="R15" s="183"/>
      <c r="S15" s="180"/>
      <c r="T15" s="180"/>
    </row>
    <row r="16" ht="25.5">
      <c r="F16" t="s">
        <v>496</v>
      </c>
      <c r="G16" s="33">
        <v>631.79999999999995</v>
      </c>
      <c r="H16" s="28">
        <v>0</v>
      </c>
      <c r="J16" s="33"/>
      <c r="M16" s="184">
        <v>45322</v>
      </c>
      <c r="N16" s="180" t="s">
        <v>497</v>
      </c>
      <c r="O16" s="180" t="s">
        <v>474</v>
      </c>
      <c r="P16" s="180" t="s">
        <v>498</v>
      </c>
      <c r="Q16" s="185">
        <v>139</v>
      </c>
      <c r="R16" s="183"/>
      <c r="S16" s="185">
        <v>0</v>
      </c>
      <c r="T16" s="185">
        <v>139</v>
      </c>
    </row>
    <row r="17" ht="25.5">
      <c r="F17" t="s">
        <v>499</v>
      </c>
      <c r="G17" s="33">
        <v>1033</v>
      </c>
      <c r="H17" s="28">
        <f>139*12</f>
        <v>1668</v>
      </c>
      <c r="J17" s="33">
        <f>70*12</f>
        <v>840</v>
      </c>
      <c r="M17" s="184">
        <v>45351</v>
      </c>
      <c r="N17" s="180" t="s">
        <v>500</v>
      </c>
      <c r="O17" s="180" t="s">
        <v>474</v>
      </c>
      <c r="P17" s="180" t="s">
        <v>498</v>
      </c>
      <c r="Q17" s="185">
        <v>139</v>
      </c>
      <c r="R17" s="183"/>
      <c r="S17" s="185">
        <v>0</v>
      </c>
      <c r="T17" s="185">
        <v>278</v>
      </c>
    </row>
    <row r="18" ht="25.5">
      <c r="F18" t="s">
        <v>501</v>
      </c>
      <c r="G18" s="33">
        <v>2046.8099999999999</v>
      </c>
      <c r="H18" s="28">
        <f>12/15*G18</f>
        <v>1637.4480000000001</v>
      </c>
      <c r="J18" s="33"/>
      <c r="M18" s="184">
        <v>45380</v>
      </c>
      <c r="N18" s="180" t="s">
        <v>502</v>
      </c>
      <c r="O18" s="180" t="s">
        <v>474</v>
      </c>
      <c r="P18" s="180" t="s">
        <v>498</v>
      </c>
      <c r="Q18" s="185">
        <v>139</v>
      </c>
      <c r="R18" s="183"/>
      <c r="S18" s="185">
        <v>0</v>
      </c>
      <c r="T18" s="185">
        <v>417</v>
      </c>
    </row>
    <row r="19" ht="25.5">
      <c r="F19" t="s">
        <v>503</v>
      </c>
      <c r="G19" s="33">
        <v>1897.6600000000001</v>
      </c>
      <c r="H19" s="28">
        <f>150*5</f>
        <v>750</v>
      </c>
      <c r="J19" s="33"/>
      <c r="M19" s="184">
        <v>45412</v>
      </c>
      <c r="N19" s="180" t="s">
        <v>502</v>
      </c>
      <c r="O19" s="180" t="s">
        <v>474</v>
      </c>
      <c r="P19" s="180" t="s">
        <v>498</v>
      </c>
      <c r="Q19" s="185">
        <v>139</v>
      </c>
      <c r="R19" s="183"/>
      <c r="S19" s="185">
        <v>0</v>
      </c>
      <c r="T19" s="185">
        <v>556</v>
      </c>
    </row>
    <row r="20" ht="25.5">
      <c r="F20" t="s">
        <v>504</v>
      </c>
      <c r="G20" s="33">
        <v>57.5</v>
      </c>
      <c r="H20" s="28">
        <f t="shared" ref="H20:H23" si="83">12/15*G20</f>
        <v>46</v>
      </c>
      <c r="J20" s="33"/>
      <c r="M20" s="184">
        <v>45443</v>
      </c>
      <c r="N20" s="180"/>
      <c r="O20" s="180" t="s">
        <v>474</v>
      </c>
      <c r="P20" s="180" t="s">
        <v>505</v>
      </c>
      <c r="Q20" s="185">
        <v>149</v>
      </c>
      <c r="R20" s="183"/>
      <c r="S20" s="185">
        <v>0</v>
      </c>
      <c r="T20" s="185">
        <v>705</v>
      </c>
    </row>
    <row r="21" ht="25.5">
      <c r="F21" t="s">
        <v>506</v>
      </c>
      <c r="G21" s="33">
        <v>23.629999999999999</v>
      </c>
      <c r="H21" s="28">
        <f t="shared" si="83"/>
        <v>18.904</v>
      </c>
      <c r="J21" s="33"/>
      <c r="M21" s="186" t="s">
        <v>242</v>
      </c>
      <c r="N21" s="180"/>
      <c r="O21" s="182"/>
      <c r="P21" s="182"/>
      <c r="Q21" s="185">
        <v>705</v>
      </c>
      <c r="R21" s="183"/>
      <c r="S21" s="185">
        <v>0</v>
      </c>
      <c r="T21" s="185">
        <v>705</v>
      </c>
    </row>
    <row r="22" ht="25.5">
      <c r="F22" t="s">
        <v>507</v>
      </c>
      <c r="G22" s="33">
        <v>3000</v>
      </c>
      <c r="H22" s="28">
        <v>0</v>
      </c>
      <c r="J22" s="33"/>
      <c r="M22" s="186" t="s">
        <v>508</v>
      </c>
      <c r="N22" s="181" t="s">
        <v>509</v>
      </c>
      <c r="O22" s="180"/>
      <c r="P22" s="180"/>
      <c r="Q22" s="180"/>
      <c r="R22" s="183"/>
      <c r="S22" s="180"/>
      <c r="T22" s="180"/>
    </row>
    <row r="23" ht="25.5">
      <c r="F23" t="s">
        <v>510</v>
      </c>
      <c r="G23" s="33">
        <v>203.19999999999999</v>
      </c>
      <c r="H23" s="28">
        <f t="shared" si="83"/>
        <v>162.56</v>
      </c>
      <c r="J23" s="33"/>
      <c r="M23" s="184">
        <v>45292</v>
      </c>
      <c r="N23" s="180" t="s">
        <v>511</v>
      </c>
      <c r="O23" s="180" t="s">
        <v>512</v>
      </c>
      <c r="P23" s="180" t="s">
        <v>513</v>
      </c>
      <c r="Q23" s="185">
        <v>668.61000000000001</v>
      </c>
      <c r="R23" s="183"/>
      <c r="S23" s="185">
        <v>0</v>
      </c>
      <c r="T23" s="185">
        <v>668.61000000000001</v>
      </c>
    </row>
    <row r="24" ht="25.5">
      <c r="F24" t="s">
        <v>514</v>
      </c>
      <c r="H24" s="28">
        <f>9*400+4*400+B50+B51+B52</f>
        <v>13175</v>
      </c>
      <c r="M24" s="184">
        <v>45292</v>
      </c>
      <c r="N24" s="180" t="s">
        <v>511</v>
      </c>
      <c r="O24" s="180" t="s">
        <v>512</v>
      </c>
      <c r="P24" s="180" t="s">
        <v>515</v>
      </c>
      <c r="Q24" s="185">
        <v>707.36000000000001</v>
      </c>
      <c r="R24" s="183"/>
      <c r="S24" s="185">
        <v>0</v>
      </c>
      <c r="T24" s="185">
        <v>1375.97</v>
      </c>
    </row>
    <row r="25" ht="25.5">
      <c r="F25" t="s">
        <v>516</v>
      </c>
      <c r="H25" s="28">
        <f>23*8</f>
        <v>184</v>
      </c>
      <c r="M25" s="184">
        <v>45596</v>
      </c>
      <c r="N25" s="180"/>
      <c r="O25" s="180" t="s">
        <v>474</v>
      </c>
      <c r="P25" s="180" t="s">
        <v>517</v>
      </c>
      <c r="Q25" s="185">
        <v>30.890000000000001</v>
      </c>
      <c r="R25" s="183"/>
      <c r="S25" s="185">
        <v>0</v>
      </c>
      <c r="T25" s="185">
        <v>1406.8599999999999</v>
      </c>
    </row>
    <row r="26" ht="14.25">
      <c r="F26" t="s">
        <v>518</v>
      </c>
      <c r="M26" s="186" t="s">
        <v>242</v>
      </c>
      <c r="N26" s="180"/>
      <c r="O26" s="180"/>
      <c r="P26" s="180"/>
      <c r="Q26" s="185">
        <v>1406.8599999999999</v>
      </c>
      <c r="R26" s="183"/>
      <c r="S26" s="185">
        <v>0</v>
      </c>
      <c r="T26" s="185">
        <v>1406.8599999999999</v>
      </c>
    </row>
    <row r="27" ht="25.5">
      <c r="F27" t="s">
        <v>76</v>
      </c>
      <c r="H27" s="28"/>
      <c r="I27" s="28">
        <f>2036*4</f>
        <v>8144</v>
      </c>
      <c r="M27" s="186" t="s">
        <v>519</v>
      </c>
      <c r="N27" s="180" t="s">
        <v>520</v>
      </c>
      <c r="O27" s="180"/>
      <c r="P27" s="180"/>
      <c r="Q27" s="180"/>
      <c r="R27" s="183"/>
      <c r="S27" s="180"/>
      <c r="T27" s="180"/>
    </row>
    <row r="28" ht="14.25">
      <c r="F28" t="s">
        <v>521</v>
      </c>
      <c r="H28" s="28"/>
      <c r="I28" s="28">
        <f>400*4</f>
        <v>1600</v>
      </c>
      <c r="M28" s="184">
        <v>45306</v>
      </c>
      <c r="N28" s="185">
        <v>267</v>
      </c>
      <c r="O28" s="180" t="s">
        <v>474</v>
      </c>
      <c r="P28" s="180" t="s">
        <v>522</v>
      </c>
      <c r="Q28" s="185">
        <v>166.80000000000001</v>
      </c>
      <c r="R28" s="183"/>
      <c r="S28" s="185">
        <v>0</v>
      </c>
      <c r="T28" s="185">
        <v>166.80000000000001</v>
      </c>
    </row>
    <row r="29" ht="14.25">
      <c r="M29" s="184">
        <v>45337</v>
      </c>
      <c r="N29" s="185">
        <v>291</v>
      </c>
      <c r="O29" s="180" t="s">
        <v>474</v>
      </c>
      <c r="P29" s="180" t="s">
        <v>523</v>
      </c>
      <c r="Q29" s="185">
        <v>166.80000000000001</v>
      </c>
      <c r="R29" s="183"/>
      <c r="S29" s="185">
        <v>0</v>
      </c>
      <c r="T29" s="185">
        <v>333.60000000000002</v>
      </c>
    </row>
    <row r="30" ht="25.5">
      <c r="D30">
        <v>10</v>
      </c>
      <c r="E30" t="s">
        <v>524</v>
      </c>
      <c r="M30" s="184">
        <v>45366</v>
      </c>
      <c r="N30" s="185">
        <v>316</v>
      </c>
      <c r="O30" s="180" t="s">
        <v>474</v>
      </c>
      <c r="P30" s="180" t="s">
        <v>525</v>
      </c>
      <c r="Q30" s="185">
        <v>166.80000000000001</v>
      </c>
      <c r="R30" s="183"/>
      <c r="S30" s="185">
        <v>0</v>
      </c>
      <c r="T30" s="185">
        <v>500.39999999999998</v>
      </c>
    </row>
    <row r="31" ht="14.25">
      <c r="B31" s="187" t="s">
        <v>468</v>
      </c>
      <c r="C31" s="187" t="s">
        <v>470</v>
      </c>
      <c r="D31" s="11" t="s">
        <v>259</v>
      </c>
      <c r="E31" s="11" t="s">
        <v>526</v>
      </c>
      <c r="M31" s="184">
        <v>45397</v>
      </c>
      <c r="N31" s="185">
        <v>342</v>
      </c>
      <c r="O31" s="180" t="s">
        <v>474</v>
      </c>
      <c r="P31" s="180" t="s">
        <v>527</v>
      </c>
      <c r="Q31" s="185">
        <v>166.80000000000001</v>
      </c>
      <c r="R31" s="183"/>
      <c r="S31" s="185">
        <v>0</v>
      </c>
      <c r="T31" s="185">
        <v>667.20000000000005</v>
      </c>
    </row>
    <row r="32" ht="25.5">
      <c r="A32" s="188" t="s">
        <v>474</v>
      </c>
      <c r="B32" s="28">
        <f t="shared" ref="B32:B37" si="84">SUMIF(O:O,A32,Q:Q)</f>
        <v>34335.969999999994</v>
      </c>
      <c r="C32" s="28">
        <f t="shared" ref="C32:C37" si="85">SUMIF(O:O,A32,S:S)</f>
        <v>0</v>
      </c>
      <c r="D32" s="189">
        <f>(B32+B33-C33+B34+B37-C37-C34-7500-B48)*12/D30+7500+B48</f>
        <v>64263.112000000008</v>
      </c>
      <c r="E32" s="189">
        <f>SUM(H:H)</f>
        <v>40595.928</v>
      </c>
      <c r="F32" s="28"/>
      <c r="M32" s="184">
        <v>45427</v>
      </c>
      <c r="N32" s="185">
        <v>372</v>
      </c>
      <c r="O32" s="180" t="s">
        <v>474</v>
      </c>
      <c r="P32" s="180" t="s">
        <v>528</v>
      </c>
      <c r="Q32" s="185">
        <v>166.80000000000001</v>
      </c>
      <c r="R32" s="183"/>
      <c r="S32" s="185">
        <v>0</v>
      </c>
      <c r="T32" s="185">
        <v>834</v>
      </c>
    </row>
    <row r="33" ht="14.25">
      <c r="A33" s="188" t="s">
        <v>529</v>
      </c>
      <c r="B33" s="28">
        <f t="shared" si="84"/>
        <v>489.1699999999995</v>
      </c>
      <c r="C33" s="28">
        <f t="shared" si="85"/>
        <v>3020.23</v>
      </c>
      <c r="D33" s="189"/>
      <c r="E33" s="189"/>
      <c r="H33" s="28"/>
      <c r="M33" s="184">
        <v>45458</v>
      </c>
      <c r="N33" s="185">
        <v>406</v>
      </c>
      <c r="O33" s="180" t="s">
        <v>474</v>
      </c>
      <c r="P33" s="180" t="s">
        <v>530</v>
      </c>
      <c r="Q33" s="185">
        <v>166.80000000000001</v>
      </c>
      <c r="R33" s="183"/>
      <c r="S33" s="185">
        <v>0</v>
      </c>
      <c r="T33" s="185">
        <v>1000.8</v>
      </c>
    </row>
    <row r="34" ht="14.25">
      <c r="A34" s="188" t="s">
        <v>531</v>
      </c>
      <c r="B34" s="28">
        <f t="shared" si="84"/>
        <v>81727.869999999995</v>
      </c>
      <c r="C34" s="28">
        <f t="shared" si="85"/>
        <v>59874.129999999976</v>
      </c>
      <c r="D34" s="28"/>
      <c r="H34" s="28"/>
      <c r="M34" s="184">
        <v>45488</v>
      </c>
      <c r="N34" s="185">
        <v>435</v>
      </c>
      <c r="O34" s="180" t="s">
        <v>474</v>
      </c>
      <c r="P34" s="180" t="s">
        <v>532</v>
      </c>
      <c r="Q34" s="185">
        <v>166.80000000000001</v>
      </c>
      <c r="R34" s="183"/>
      <c r="S34" s="185">
        <v>0</v>
      </c>
      <c r="T34" s="185">
        <v>1167.5999999999999</v>
      </c>
    </row>
    <row r="35" ht="14.25">
      <c r="A35" s="188" t="s">
        <v>533</v>
      </c>
      <c r="B35" s="28">
        <f t="shared" si="84"/>
        <v>112659.62999999999</v>
      </c>
      <c r="C35" s="28">
        <f t="shared" si="85"/>
        <v>0</v>
      </c>
      <c r="D35" s="28">
        <f>B35*12/(D30)</f>
        <v>135191.55599999998</v>
      </c>
      <c r="E35" s="33">
        <f>'Bilan 2024'!E12</f>
        <v>156088</v>
      </c>
      <c r="H35" s="28"/>
      <c r="M35" s="184">
        <v>45519</v>
      </c>
      <c r="N35" s="180" t="s">
        <v>534</v>
      </c>
      <c r="O35" s="180" t="s">
        <v>474</v>
      </c>
      <c r="P35" s="180" t="s">
        <v>535</v>
      </c>
      <c r="Q35" s="185">
        <v>166.80000000000001</v>
      </c>
      <c r="R35" s="183"/>
      <c r="S35" s="185">
        <v>0</v>
      </c>
      <c r="T35" s="185">
        <v>1334.4000000000001</v>
      </c>
    </row>
    <row r="36" ht="25.5">
      <c r="A36" s="188" t="s">
        <v>536</v>
      </c>
      <c r="B36" s="28">
        <f t="shared" si="84"/>
        <v>100723.14</v>
      </c>
      <c r="C36" s="28">
        <f t="shared" si="85"/>
        <v>286860.90000000002</v>
      </c>
      <c r="D36" s="28">
        <f>(C36-B36)*12/D30</f>
        <v>223365.31200000001</v>
      </c>
      <c r="E36" s="61">
        <f>'Bilan 2024'!E4</f>
        <v>238604.03000000003</v>
      </c>
      <c r="H36" s="28"/>
      <c r="M36" s="184">
        <v>45550</v>
      </c>
      <c r="N36" s="185">
        <v>481</v>
      </c>
      <c r="O36" s="180" t="s">
        <v>474</v>
      </c>
      <c r="P36" s="180" t="s">
        <v>537</v>
      </c>
      <c r="Q36" s="185">
        <v>166.80000000000001</v>
      </c>
      <c r="R36" s="183"/>
      <c r="S36" s="185">
        <v>0</v>
      </c>
      <c r="T36" s="185">
        <v>1501.2</v>
      </c>
    </row>
    <row r="37" ht="14.25">
      <c r="A37" s="188" t="s">
        <v>512</v>
      </c>
      <c r="B37" s="28">
        <f t="shared" si="84"/>
        <v>30545.610000000001</v>
      </c>
      <c r="C37" s="28">
        <f t="shared" si="85"/>
        <v>27572.5</v>
      </c>
      <c r="D37" s="28"/>
      <c r="H37" s="28"/>
      <c r="M37" s="184">
        <v>45580</v>
      </c>
      <c r="N37" s="185">
        <v>514</v>
      </c>
      <c r="O37" s="180" t="s">
        <v>474</v>
      </c>
      <c r="P37" s="180" t="s">
        <v>538</v>
      </c>
      <c r="Q37" s="185">
        <v>139</v>
      </c>
      <c r="R37" s="183"/>
      <c r="S37" s="185">
        <v>0</v>
      </c>
      <c r="T37" s="185">
        <v>1640.2</v>
      </c>
    </row>
    <row r="38" ht="25.5">
      <c r="A38" s="188" t="s">
        <v>539</v>
      </c>
      <c r="B38" s="28">
        <f>SUM(B32:B37)</f>
        <v>360481.38999999996</v>
      </c>
      <c r="C38" s="28">
        <f>SUM(C32:C37)</f>
        <v>377327.76000000001</v>
      </c>
      <c r="H38" s="28"/>
      <c r="M38" s="186" t="s">
        <v>242</v>
      </c>
      <c r="N38" s="180"/>
      <c r="O38" s="180"/>
      <c r="P38" s="180"/>
      <c r="Q38" s="185">
        <v>1640.2</v>
      </c>
      <c r="R38" s="183"/>
      <c r="S38" s="185">
        <v>0</v>
      </c>
      <c r="T38" s="185">
        <v>1640.2</v>
      </c>
    </row>
    <row r="39" ht="25.5">
      <c r="A39" s="188" t="s">
        <v>540</v>
      </c>
      <c r="B39" s="190">
        <f>C38-B38</f>
        <v>16846.370000000054</v>
      </c>
      <c r="D39" s="123">
        <f>D36-D35-D32</f>
        <v>23910.644000000015</v>
      </c>
      <c r="E39" s="11"/>
      <c r="H39" s="28"/>
      <c r="M39" s="186" t="s">
        <v>541</v>
      </c>
      <c r="N39" s="181" t="s">
        <v>542</v>
      </c>
      <c r="O39" s="180"/>
      <c r="P39" s="180"/>
      <c r="Q39" s="180"/>
      <c r="R39" s="183"/>
      <c r="S39" s="180"/>
      <c r="T39" s="180"/>
    </row>
    <row r="40" ht="25.5">
      <c r="C40" s="11" t="s">
        <v>543</v>
      </c>
      <c r="D40" s="123">
        <f>D39-'Bilan 2024'!J4*2*1.42</f>
        <v>12550.644000000015</v>
      </c>
      <c r="E40" s="123">
        <f>E36-E35-E32</f>
        <v>41920.102000000028</v>
      </c>
      <c r="F40" s="28"/>
      <c r="M40" s="184">
        <v>45294</v>
      </c>
      <c r="N40" s="185">
        <v>24010391</v>
      </c>
      <c r="O40" s="180" t="s">
        <v>474</v>
      </c>
      <c r="P40" s="180" t="s">
        <v>544</v>
      </c>
      <c r="Q40" s="185">
        <v>71.900000000000006</v>
      </c>
      <c r="R40" s="183"/>
      <c r="S40" s="185">
        <v>0</v>
      </c>
      <c r="T40" s="185">
        <v>71.900000000000006</v>
      </c>
    </row>
    <row r="41" ht="14.25">
      <c r="M41" s="184">
        <v>45325</v>
      </c>
      <c r="N41" s="185">
        <v>24023810</v>
      </c>
      <c r="O41" s="180" t="s">
        <v>474</v>
      </c>
      <c r="P41" s="180" t="s">
        <v>545</v>
      </c>
      <c r="Q41" s="185">
        <v>71.900000000000006</v>
      </c>
      <c r="R41" s="183"/>
      <c r="S41" s="185">
        <v>0</v>
      </c>
      <c r="T41" s="185">
        <v>143.80000000000001</v>
      </c>
    </row>
    <row r="42" ht="25.5">
      <c r="M42" s="184">
        <v>45354</v>
      </c>
      <c r="N42" s="185">
        <v>24037214</v>
      </c>
      <c r="O42" s="180" t="s">
        <v>474</v>
      </c>
      <c r="P42" s="180" t="s">
        <v>546</v>
      </c>
      <c r="Q42" s="185">
        <v>71.900000000000006</v>
      </c>
      <c r="R42" s="183"/>
      <c r="S42" s="185">
        <v>0</v>
      </c>
      <c r="T42" s="185">
        <v>215.69999999999999</v>
      </c>
    </row>
    <row r="43" ht="25.5">
      <c r="A43" t="s">
        <v>547</v>
      </c>
      <c r="B43" s="191" t="s">
        <v>468</v>
      </c>
      <c r="C43" s="191" t="s">
        <v>470</v>
      </c>
      <c r="D43" s="191" t="s">
        <v>264</v>
      </c>
      <c r="E43" s="185"/>
      <c r="M43" s="184">
        <v>45385</v>
      </c>
      <c r="N43" s="185">
        <v>240410845</v>
      </c>
      <c r="O43" s="180" t="s">
        <v>474</v>
      </c>
      <c r="P43" s="180" t="s">
        <v>548</v>
      </c>
      <c r="Q43" s="185">
        <v>71.900000000000006</v>
      </c>
      <c r="R43" s="183"/>
      <c r="S43" s="185">
        <v>0</v>
      </c>
      <c r="T43" s="185">
        <v>287.60000000000002</v>
      </c>
    </row>
    <row r="44" ht="25.5">
      <c r="A44" s="192" t="s">
        <v>549</v>
      </c>
      <c r="B44" s="185">
        <v>171794.54999999999</v>
      </c>
      <c r="C44" s="193">
        <v>909.63999999999999</v>
      </c>
      <c r="D44" s="185">
        <v>170884.91</v>
      </c>
      <c r="F44" s="185"/>
      <c r="G44" s="183"/>
      <c r="H44" s="193"/>
      <c r="I44" s="185"/>
      <c r="M44" s="184">
        <v>45415</v>
      </c>
      <c r="N44" s="185">
        <v>240514451</v>
      </c>
      <c r="O44" s="180" t="s">
        <v>474</v>
      </c>
      <c r="P44" s="180" t="s">
        <v>550</v>
      </c>
      <c r="Q44" s="185">
        <v>71.900000000000006</v>
      </c>
      <c r="R44" s="183"/>
      <c r="S44" s="185">
        <v>0</v>
      </c>
      <c r="T44" s="185">
        <v>359.5</v>
      </c>
    </row>
    <row r="45" ht="25.5">
      <c r="A45" s="194" t="s">
        <v>551</v>
      </c>
      <c r="B45" s="185">
        <v>188686.84</v>
      </c>
      <c r="C45" s="193">
        <v>376418.12</v>
      </c>
      <c r="D45" s="185">
        <v>-187731.28</v>
      </c>
      <c r="F45" s="185"/>
      <c r="G45" s="183"/>
      <c r="H45" s="193"/>
      <c r="I45" s="185"/>
      <c r="M45" s="184">
        <v>45446</v>
      </c>
      <c r="N45" s="185">
        <v>240618126</v>
      </c>
      <c r="O45" s="180" t="s">
        <v>474</v>
      </c>
      <c r="P45" s="180" t="s">
        <v>552</v>
      </c>
      <c r="Q45" s="185">
        <v>95.310000000000002</v>
      </c>
      <c r="R45" s="183"/>
      <c r="S45" s="185">
        <v>0</v>
      </c>
      <c r="T45" s="185">
        <v>454.81</v>
      </c>
    </row>
    <row r="46" ht="14.25">
      <c r="B46" s="28">
        <f>B44+B45</f>
        <v>360481.39000000001</v>
      </c>
      <c r="C46" s="28">
        <f>C44+C45</f>
        <v>377327.76000000001</v>
      </c>
      <c r="D46" s="190">
        <f>D44+D45</f>
        <v>-16846.369999999995</v>
      </c>
      <c r="M46" s="184">
        <v>45476</v>
      </c>
      <c r="N46" s="185">
        <v>240721860</v>
      </c>
      <c r="O46" s="180" t="s">
        <v>474</v>
      </c>
      <c r="P46" s="180" t="s">
        <v>553</v>
      </c>
      <c r="Q46" s="185">
        <v>95.310000000000002</v>
      </c>
      <c r="R46" s="183"/>
      <c r="S46" s="185">
        <v>0</v>
      </c>
      <c r="T46" s="185">
        <v>550.12</v>
      </c>
    </row>
    <row r="47" ht="25.5">
      <c r="M47" s="184">
        <v>45507</v>
      </c>
      <c r="N47" s="180" t="s">
        <v>554</v>
      </c>
      <c r="O47" s="180" t="s">
        <v>474</v>
      </c>
      <c r="P47" s="180" t="s">
        <v>555</v>
      </c>
      <c r="Q47" s="185">
        <v>95.310000000000002</v>
      </c>
      <c r="R47" s="183"/>
      <c r="S47" s="185">
        <v>0</v>
      </c>
      <c r="T47" s="185">
        <v>645.42999999999995</v>
      </c>
    </row>
    <row r="48" ht="25.5">
      <c r="A48" t="s">
        <v>556</v>
      </c>
      <c r="B48">
        <f>SUM(B49:B54)</f>
        <v>10975</v>
      </c>
      <c r="D48" s="193"/>
      <c r="E48" s="183"/>
      <c r="F48" s="185"/>
      <c r="G48" s="185"/>
      <c r="M48" s="184">
        <v>45538</v>
      </c>
      <c r="N48" s="180" t="s">
        <v>554</v>
      </c>
      <c r="O48" s="180" t="s">
        <v>474</v>
      </c>
      <c r="P48" s="180" t="s">
        <v>557</v>
      </c>
      <c r="Q48" s="185">
        <v>95.310000000000002</v>
      </c>
      <c r="R48" s="183"/>
      <c r="S48" s="185">
        <v>0</v>
      </c>
      <c r="T48" s="185">
        <v>740.74000000000001</v>
      </c>
    </row>
    <row r="49" ht="25.5">
      <c r="A49" t="s">
        <v>558</v>
      </c>
      <c r="B49">
        <v>3000</v>
      </c>
      <c r="M49" s="184">
        <v>45568</v>
      </c>
      <c r="N49" s="185">
        <v>241033383</v>
      </c>
      <c r="O49" s="180" t="s">
        <v>474</v>
      </c>
      <c r="P49" s="180" t="s">
        <v>559</v>
      </c>
      <c r="Q49" s="185">
        <v>95.310000000000002</v>
      </c>
      <c r="R49" s="183"/>
      <c r="S49" s="185">
        <v>0</v>
      </c>
      <c r="T49" s="185">
        <v>836.04999999999995</v>
      </c>
    </row>
    <row r="50" ht="25.5">
      <c r="A50" t="s">
        <v>560</v>
      </c>
      <c r="B50">
        <f>15*350+3.5*350</f>
        <v>6475</v>
      </c>
      <c r="M50" s="186" t="s">
        <v>242</v>
      </c>
      <c r="N50" s="180"/>
      <c r="O50" s="180"/>
      <c r="P50" s="180"/>
      <c r="Q50" s="185">
        <v>836.04999999999995</v>
      </c>
      <c r="R50" s="183"/>
      <c r="S50" s="185">
        <v>0</v>
      </c>
      <c r="T50" s="185">
        <v>836.04999999999995</v>
      </c>
    </row>
    <row r="51" ht="25.5">
      <c r="A51" s="45" t="s">
        <v>561</v>
      </c>
      <c r="B51">
        <f>1.5*350+0.5*350</f>
        <v>700</v>
      </c>
      <c r="M51" s="186" t="s">
        <v>562</v>
      </c>
      <c r="N51" s="181" t="s">
        <v>563</v>
      </c>
      <c r="O51" s="180"/>
      <c r="P51" s="180"/>
      <c r="Q51" s="180"/>
      <c r="R51" s="183"/>
      <c r="S51" s="180"/>
      <c r="T51" s="180"/>
    </row>
    <row r="52" ht="25.5">
      <c r="A52" t="s">
        <v>564</v>
      </c>
      <c r="B52" s="18">
        <v>800</v>
      </c>
      <c r="M52" s="184">
        <v>45292</v>
      </c>
      <c r="N52" s="180" t="s">
        <v>511</v>
      </c>
      <c r="O52" s="180" t="s">
        <v>512</v>
      </c>
      <c r="P52" s="180" t="s">
        <v>565</v>
      </c>
      <c r="Q52" s="185">
        <v>35.82</v>
      </c>
      <c r="R52" s="183"/>
      <c r="S52" s="185">
        <v>0</v>
      </c>
      <c r="T52" s="185">
        <v>35.82</v>
      </c>
    </row>
    <row r="53" ht="25.5">
      <c r="B53" s="18"/>
      <c r="M53" s="184">
        <v>45371</v>
      </c>
      <c r="N53" s="185">
        <v>202401</v>
      </c>
      <c r="O53" s="180" t="s">
        <v>474</v>
      </c>
      <c r="P53" s="180" t="s">
        <v>566</v>
      </c>
      <c r="Q53" s="185">
        <v>84.599999999999994</v>
      </c>
      <c r="R53" s="183"/>
      <c r="S53" s="185">
        <v>0</v>
      </c>
      <c r="T53" s="185">
        <v>120.42</v>
      </c>
    </row>
    <row r="54" ht="25.5">
      <c r="M54" s="184">
        <v>45461</v>
      </c>
      <c r="N54" s="185">
        <v>7806343</v>
      </c>
      <c r="O54" s="180" t="s">
        <v>474</v>
      </c>
      <c r="P54" s="180" t="s">
        <v>567</v>
      </c>
      <c r="Q54" s="185">
        <v>115.06</v>
      </c>
      <c r="R54" s="183"/>
      <c r="S54" s="185">
        <v>0</v>
      </c>
      <c r="T54" s="185">
        <v>235.47999999999999</v>
      </c>
    </row>
    <row r="55" ht="25.5">
      <c r="M55" s="184">
        <v>45504</v>
      </c>
      <c r="N55" s="180"/>
      <c r="O55" s="180" t="s">
        <v>474</v>
      </c>
      <c r="P55" s="180" t="s">
        <v>568</v>
      </c>
      <c r="Q55" s="185">
        <v>5</v>
      </c>
      <c r="R55" s="183"/>
      <c r="S55" s="185">
        <v>0</v>
      </c>
      <c r="T55" s="185">
        <v>240.47999999999999</v>
      </c>
    </row>
    <row r="56" ht="25.5">
      <c r="M56" s="184">
        <v>45596</v>
      </c>
      <c r="N56" s="180"/>
      <c r="O56" s="180" t="s">
        <v>474</v>
      </c>
      <c r="P56" s="180" t="s">
        <v>569</v>
      </c>
      <c r="Q56" s="185">
        <v>287.88</v>
      </c>
      <c r="R56" s="183"/>
      <c r="S56" s="185">
        <v>0</v>
      </c>
      <c r="T56" s="185">
        <v>528.36000000000001</v>
      </c>
    </row>
    <row r="57" ht="25.5">
      <c r="M57" s="186" t="s">
        <v>242</v>
      </c>
      <c r="N57" s="180"/>
      <c r="O57" s="180"/>
      <c r="P57" s="180"/>
      <c r="Q57" s="185">
        <v>528.36000000000001</v>
      </c>
      <c r="R57" s="183"/>
      <c r="S57" s="185">
        <v>0</v>
      </c>
      <c r="T57" s="185">
        <v>528.36000000000001</v>
      </c>
    </row>
    <row r="58" ht="25.5">
      <c r="M58" s="186" t="s">
        <v>570</v>
      </c>
      <c r="N58" s="181" t="s">
        <v>571</v>
      </c>
      <c r="O58" s="180"/>
      <c r="P58" s="180"/>
      <c r="Q58" s="180"/>
      <c r="R58" s="183"/>
      <c r="S58" s="180"/>
      <c r="T58" s="180"/>
    </row>
    <row r="59" ht="25.5">
      <c r="M59" s="184">
        <v>45292</v>
      </c>
      <c r="N59" s="180" t="s">
        <v>572</v>
      </c>
      <c r="O59" s="180" t="s">
        <v>512</v>
      </c>
      <c r="P59" s="180" t="s">
        <v>573</v>
      </c>
      <c r="Q59" s="185">
        <v>99.780000000000001</v>
      </c>
      <c r="R59" s="183"/>
      <c r="S59" s="185">
        <v>0</v>
      </c>
      <c r="T59" s="185">
        <v>99.780000000000001</v>
      </c>
    </row>
    <row r="60" ht="25.5">
      <c r="M60" s="184">
        <v>45292</v>
      </c>
      <c r="N60" s="180" t="s">
        <v>572</v>
      </c>
      <c r="O60" s="180" t="s">
        <v>512</v>
      </c>
      <c r="P60" s="180" t="s">
        <v>574</v>
      </c>
      <c r="Q60" s="185">
        <v>32.909999999999997</v>
      </c>
      <c r="R60" s="183"/>
      <c r="S60" s="185">
        <v>0</v>
      </c>
      <c r="T60" s="185">
        <v>132.69</v>
      </c>
    </row>
    <row r="61" ht="25.5">
      <c r="M61" s="184">
        <v>45536</v>
      </c>
      <c r="N61" s="180" t="s">
        <v>575</v>
      </c>
      <c r="O61" s="180" t="s">
        <v>474</v>
      </c>
      <c r="P61" s="180" t="s">
        <v>576</v>
      </c>
      <c r="Q61" s="185">
        <v>250.80000000000001</v>
      </c>
      <c r="R61" s="183"/>
      <c r="S61" s="185">
        <v>0</v>
      </c>
      <c r="T61" s="185">
        <v>383.49000000000001</v>
      </c>
    </row>
    <row r="62" ht="25.5">
      <c r="M62" s="186" t="s">
        <v>242</v>
      </c>
      <c r="N62" s="180"/>
      <c r="O62" s="180"/>
      <c r="P62" s="180"/>
      <c r="Q62" s="185">
        <v>383.49000000000001</v>
      </c>
      <c r="R62" s="183"/>
      <c r="S62" s="185">
        <v>0</v>
      </c>
      <c r="T62" s="185">
        <v>383.49000000000001</v>
      </c>
    </row>
    <row r="63" ht="25.5">
      <c r="M63" s="186" t="s">
        <v>577</v>
      </c>
      <c r="N63" s="181" t="s">
        <v>578</v>
      </c>
      <c r="O63" s="180"/>
      <c r="P63" s="180"/>
      <c r="Q63" s="180"/>
      <c r="R63" s="183"/>
      <c r="S63" s="180"/>
      <c r="T63" s="180"/>
    </row>
    <row r="64" ht="25.5">
      <c r="M64" s="184">
        <v>45473</v>
      </c>
      <c r="N64" s="180"/>
      <c r="O64" s="180" t="s">
        <v>474</v>
      </c>
      <c r="P64" s="180" t="s">
        <v>579</v>
      </c>
      <c r="Q64" s="185">
        <v>19.59</v>
      </c>
      <c r="R64" s="183"/>
      <c r="S64" s="185">
        <v>0</v>
      </c>
      <c r="T64" s="185">
        <v>19.59</v>
      </c>
    </row>
    <row r="65" ht="14.25">
      <c r="M65" s="186" t="s">
        <v>242</v>
      </c>
      <c r="N65" s="180"/>
      <c r="O65" s="180"/>
      <c r="P65" s="180"/>
      <c r="Q65" s="185">
        <v>19.59</v>
      </c>
      <c r="R65" s="183"/>
      <c r="S65" s="185">
        <v>0</v>
      </c>
      <c r="T65" s="185">
        <v>19.59</v>
      </c>
    </row>
    <row r="66" ht="14.25">
      <c r="M66" s="186" t="s">
        <v>580</v>
      </c>
      <c r="N66" s="181" t="s">
        <v>581</v>
      </c>
      <c r="O66" s="181"/>
      <c r="P66" s="180"/>
      <c r="Q66" s="180"/>
      <c r="R66" s="183"/>
      <c r="S66" s="180"/>
      <c r="T66" s="180"/>
    </row>
    <row r="67" ht="14.25">
      <c r="M67" s="184">
        <v>45322</v>
      </c>
      <c r="N67" s="180"/>
      <c r="O67" s="180" t="s">
        <v>474</v>
      </c>
      <c r="P67" s="180" t="s">
        <v>582</v>
      </c>
      <c r="Q67" s="185">
        <v>0.29999999999999999</v>
      </c>
      <c r="R67" s="183"/>
      <c r="S67" s="185">
        <v>0</v>
      </c>
      <c r="T67" s="185">
        <v>0.29999999999999999</v>
      </c>
    </row>
    <row r="68" ht="14.25">
      <c r="M68" s="184">
        <v>45348</v>
      </c>
      <c r="N68" s="180"/>
      <c r="O68" s="180" t="s">
        <v>474</v>
      </c>
      <c r="P68" s="180" t="s">
        <v>583</v>
      </c>
      <c r="Q68" s="185">
        <v>0.29999999999999999</v>
      </c>
      <c r="R68" s="183"/>
      <c r="S68" s="185">
        <v>0</v>
      </c>
      <c r="T68" s="185">
        <v>0.59999999999999998</v>
      </c>
    </row>
    <row r="69" ht="14.25">
      <c r="M69" s="184">
        <v>45370</v>
      </c>
      <c r="N69" s="180"/>
      <c r="O69" s="180" t="s">
        <v>474</v>
      </c>
      <c r="P69" s="180" t="s">
        <v>584</v>
      </c>
      <c r="Q69" s="185">
        <v>0.29999999999999999</v>
      </c>
      <c r="R69" s="183"/>
      <c r="S69" s="185">
        <v>0</v>
      </c>
      <c r="T69" s="185">
        <v>0.90000000000000002</v>
      </c>
    </row>
    <row r="70" ht="14.25">
      <c r="M70" s="184">
        <v>45401</v>
      </c>
      <c r="N70" s="180"/>
      <c r="O70" s="180" t="s">
        <v>474</v>
      </c>
      <c r="P70" s="180" t="s">
        <v>585</v>
      </c>
      <c r="Q70" s="185">
        <v>0.29999999999999999</v>
      </c>
      <c r="R70" s="183"/>
      <c r="S70" s="185">
        <v>0</v>
      </c>
      <c r="T70" s="185">
        <v>1.2</v>
      </c>
    </row>
    <row r="71" ht="14.25">
      <c r="M71" s="184">
        <v>45443</v>
      </c>
      <c r="N71" s="180" t="s">
        <v>586</v>
      </c>
      <c r="O71" s="180" t="s">
        <v>474</v>
      </c>
      <c r="P71" s="180" t="s">
        <v>587</v>
      </c>
      <c r="Q71" s="185">
        <v>0.29999999999999999</v>
      </c>
      <c r="R71" s="183"/>
      <c r="S71" s="185">
        <v>0</v>
      </c>
      <c r="T71" s="185">
        <v>1.5</v>
      </c>
    </row>
    <row r="72" ht="14.25">
      <c r="M72" s="184">
        <v>45457</v>
      </c>
      <c r="N72" s="180" t="s">
        <v>588</v>
      </c>
      <c r="O72" s="180" t="s">
        <v>474</v>
      </c>
      <c r="P72" s="180" t="s">
        <v>589</v>
      </c>
      <c r="Q72" s="185">
        <v>0.10000000000000001</v>
      </c>
      <c r="R72" s="183"/>
      <c r="S72" s="185">
        <v>0</v>
      </c>
      <c r="T72" s="185">
        <v>1.6000000000000001</v>
      </c>
    </row>
    <row r="73" ht="14.25">
      <c r="M73" s="184">
        <v>45473</v>
      </c>
      <c r="N73" s="180" t="s">
        <v>590</v>
      </c>
      <c r="O73" s="180" t="s">
        <v>474</v>
      </c>
      <c r="P73" s="180" t="s">
        <v>591</v>
      </c>
      <c r="Q73" s="185">
        <v>0.20000000000000001</v>
      </c>
      <c r="R73" s="183"/>
      <c r="S73" s="185">
        <v>0</v>
      </c>
      <c r="T73" s="185">
        <v>1.8</v>
      </c>
    </row>
    <row r="74" ht="14.25">
      <c r="M74" s="184">
        <v>45479</v>
      </c>
      <c r="N74" s="185">
        <v>24073187</v>
      </c>
      <c r="O74" s="180" t="s">
        <v>474</v>
      </c>
      <c r="P74" s="180" t="s">
        <v>592</v>
      </c>
      <c r="Q74" s="185">
        <v>50</v>
      </c>
      <c r="R74" s="183"/>
      <c r="S74" s="185">
        <v>0</v>
      </c>
      <c r="T74" s="185">
        <v>51.799999999999997</v>
      </c>
    </row>
    <row r="75" ht="14.25">
      <c r="M75" s="184">
        <v>45485</v>
      </c>
      <c r="N75" s="185">
        <v>24074873</v>
      </c>
      <c r="O75" s="180" t="s">
        <v>474</v>
      </c>
      <c r="P75" s="180" t="s">
        <v>593</v>
      </c>
      <c r="Q75" s="185">
        <v>25</v>
      </c>
      <c r="R75" s="183"/>
      <c r="S75" s="185">
        <v>0</v>
      </c>
      <c r="T75" s="185">
        <v>76.799999999999997</v>
      </c>
    </row>
    <row r="76" ht="14.25">
      <c r="M76" s="184">
        <v>45504</v>
      </c>
      <c r="N76" s="180" t="s">
        <v>594</v>
      </c>
      <c r="O76" s="180" t="s">
        <v>474</v>
      </c>
      <c r="P76" s="180" t="s">
        <v>591</v>
      </c>
      <c r="Q76" s="185">
        <v>0.20000000000000001</v>
      </c>
      <c r="R76" s="183"/>
      <c r="S76" s="185">
        <v>0</v>
      </c>
      <c r="T76" s="185">
        <v>77</v>
      </c>
    </row>
    <row r="77" ht="14.25">
      <c r="M77" s="184">
        <v>45535</v>
      </c>
      <c r="N77" s="180" t="s">
        <v>595</v>
      </c>
      <c r="O77" s="180" t="s">
        <v>474</v>
      </c>
      <c r="P77" s="180" t="s">
        <v>591</v>
      </c>
      <c r="Q77" s="185">
        <v>0.20000000000000001</v>
      </c>
      <c r="R77" s="183"/>
      <c r="S77" s="185">
        <v>0</v>
      </c>
      <c r="T77" s="185">
        <v>77.200000000000003</v>
      </c>
    </row>
    <row r="78" ht="14.25">
      <c r="M78" s="184">
        <v>45565</v>
      </c>
      <c r="N78" s="180" t="s">
        <v>596</v>
      </c>
      <c r="O78" s="180" t="s">
        <v>474</v>
      </c>
      <c r="P78" s="180" t="s">
        <v>591</v>
      </c>
      <c r="Q78" s="185">
        <v>0.29999999999999999</v>
      </c>
      <c r="R78" s="183"/>
      <c r="S78" s="185">
        <v>0</v>
      </c>
      <c r="T78" s="185">
        <v>77.5</v>
      </c>
    </row>
    <row r="79" ht="14.25">
      <c r="M79" s="184">
        <v>45596</v>
      </c>
      <c r="N79" s="180" t="s">
        <v>597</v>
      </c>
      <c r="O79" s="180" t="s">
        <v>474</v>
      </c>
      <c r="P79" s="180" t="s">
        <v>598</v>
      </c>
      <c r="Q79" s="185">
        <v>0.29999999999999999</v>
      </c>
      <c r="R79" s="183"/>
      <c r="S79" s="185">
        <v>0</v>
      </c>
      <c r="T79" s="185">
        <v>77.799999999999997</v>
      </c>
    </row>
    <row r="80" ht="14.25">
      <c r="M80" s="186" t="s">
        <v>242</v>
      </c>
      <c r="N80" s="180"/>
      <c r="O80" s="180"/>
      <c r="P80" s="180"/>
      <c r="Q80" s="185">
        <v>77.799999999999997</v>
      </c>
      <c r="R80" s="183"/>
      <c r="S80" s="185">
        <v>0</v>
      </c>
      <c r="T80" s="185">
        <v>77.799999999999997</v>
      </c>
    </row>
    <row r="81" ht="14.25">
      <c r="M81" s="186" t="s">
        <v>599</v>
      </c>
      <c r="N81" s="181" t="s">
        <v>600</v>
      </c>
      <c r="O81" s="180"/>
      <c r="P81" s="180"/>
      <c r="Q81" s="180"/>
      <c r="R81" s="183"/>
      <c r="S81" s="180"/>
      <c r="T81" s="180"/>
    </row>
    <row r="82" ht="14.25">
      <c r="M82" s="184">
        <v>45322</v>
      </c>
      <c r="N82" s="180" t="s">
        <v>601</v>
      </c>
      <c r="O82" s="180" t="s">
        <v>474</v>
      </c>
      <c r="P82" s="180" t="s">
        <v>602</v>
      </c>
      <c r="Q82" s="185">
        <v>618</v>
      </c>
      <c r="R82" s="183"/>
      <c r="S82" s="185">
        <v>0</v>
      </c>
      <c r="T82" s="185">
        <v>618</v>
      </c>
    </row>
    <row r="83" ht="14.25">
      <c r="M83" s="184">
        <v>45382</v>
      </c>
      <c r="N83" s="180" t="s">
        <v>603</v>
      </c>
      <c r="O83" s="180" t="s">
        <v>474</v>
      </c>
      <c r="P83" s="180" t="s">
        <v>604</v>
      </c>
      <c r="Q83" s="185">
        <v>1300</v>
      </c>
      <c r="R83" s="183"/>
      <c r="S83" s="185">
        <v>0</v>
      </c>
      <c r="T83" s="185">
        <v>1918</v>
      </c>
    </row>
    <row r="84" ht="14.25">
      <c r="M84" s="184">
        <v>45412</v>
      </c>
      <c r="N84" s="180" t="s">
        <v>605</v>
      </c>
      <c r="O84" s="180" t="s">
        <v>474</v>
      </c>
      <c r="P84" s="180" t="s">
        <v>606</v>
      </c>
      <c r="Q84" s="185">
        <v>618</v>
      </c>
      <c r="R84" s="183"/>
      <c r="S84" s="185">
        <v>0</v>
      </c>
      <c r="T84" s="185">
        <v>2536</v>
      </c>
    </row>
    <row r="85" ht="14.25">
      <c r="M85" s="184">
        <v>45504</v>
      </c>
      <c r="N85" s="180" t="s">
        <v>607</v>
      </c>
      <c r="O85" s="180" t="s">
        <v>474</v>
      </c>
      <c r="P85" s="180" t="s">
        <v>608</v>
      </c>
      <c r="Q85" s="185">
        <v>618</v>
      </c>
      <c r="R85" s="183"/>
      <c r="S85" s="185">
        <v>0</v>
      </c>
      <c r="T85" s="185">
        <v>3154</v>
      </c>
    </row>
    <row r="86" ht="14.25">
      <c r="M86" s="184">
        <v>45596</v>
      </c>
      <c r="N86" s="180" t="s">
        <v>609</v>
      </c>
      <c r="O86" s="180" t="s">
        <v>474</v>
      </c>
      <c r="P86" s="180" t="s">
        <v>610</v>
      </c>
      <c r="Q86" s="185">
        <v>618</v>
      </c>
      <c r="R86" s="183"/>
      <c r="S86" s="185">
        <v>0</v>
      </c>
      <c r="T86" s="185">
        <v>3772</v>
      </c>
    </row>
    <row r="87" ht="14.25">
      <c r="M87" s="186" t="s">
        <v>242</v>
      </c>
      <c r="N87" s="180"/>
      <c r="O87" s="180"/>
      <c r="P87" s="180"/>
      <c r="Q87" s="185">
        <v>3772</v>
      </c>
      <c r="R87" s="183"/>
      <c r="S87" s="185">
        <v>0</v>
      </c>
      <c r="T87" s="185">
        <v>3772</v>
      </c>
    </row>
    <row r="88" ht="14.25">
      <c r="M88" s="186" t="s">
        <v>611</v>
      </c>
      <c r="N88" s="181" t="s">
        <v>612</v>
      </c>
      <c r="O88" s="180"/>
      <c r="P88" s="180"/>
      <c r="Q88" s="180"/>
      <c r="R88" s="183"/>
      <c r="S88" s="180"/>
      <c r="T88" s="180"/>
    </row>
    <row r="89" ht="14.25">
      <c r="M89" s="184">
        <v>45292</v>
      </c>
      <c r="N89" s="180" t="s">
        <v>613</v>
      </c>
      <c r="O89" s="180" t="s">
        <v>531</v>
      </c>
      <c r="P89" s="180" t="s">
        <v>614</v>
      </c>
      <c r="Q89" s="185">
        <v>0</v>
      </c>
      <c r="R89" s="183"/>
      <c r="S89" s="185">
        <v>748</v>
      </c>
      <c r="T89" s="185">
        <v>-748</v>
      </c>
    </row>
    <row r="90" ht="14.25">
      <c r="M90" s="184">
        <v>45377</v>
      </c>
      <c r="N90" s="180" t="s">
        <v>615</v>
      </c>
      <c r="O90" s="180" t="s">
        <v>474</v>
      </c>
      <c r="P90" s="180" t="s">
        <v>616</v>
      </c>
      <c r="Q90" s="185">
        <v>523.60000000000002</v>
      </c>
      <c r="R90" s="183"/>
      <c r="S90" s="185">
        <v>0</v>
      </c>
      <c r="T90" s="185">
        <v>-224.40000000000001</v>
      </c>
    </row>
    <row r="91" ht="14.25">
      <c r="M91" s="186" t="s">
        <v>242</v>
      </c>
      <c r="N91" s="183"/>
      <c r="O91" s="180"/>
      <c r="P91" s="180"/>
      <c r="Q91" s="185">
        <v>523.60000000000002</v>
      </c>
      <c r="R91" s="183"/>
      <c r="S91" s="185">
        <v>748</v>
      </c>
      <c r="T91" s="185">
        <v>-224.40000000000001</v>
      </c>
    </row>
    <row r="92" ht="14.25">
      <c r="M92" s="186" t="s">
        <v>617</v>
      </c>
      <c r="N92" s="181" t="s">
        <v>618</v>
      </c>
      <c r="O92" s="180"/>
      <c r="P92" s="180"/>
      <c r="Q92" s="180"/>
      <c r="R92" s="183"/>
      <c r="S92" s="180"/>
      <c r="T92" s="180"/>
    </row>
    <row r="93" ht="14.25">
      <c r="M93" s="184">
        <v>45356</v>
      </c>
      <c r="N93" s="180" t="s">
        <v>619</v>
      </c>
      <c r="O93" s="180" t="s">
        <v>474</v>
      </c>
      <c r="P93" s="180" t="s">
        <v>620</v>
      </c>
      <c r="Q93" s="185">
        <v>333.32999999999998</v>
      </c>
      <c r="R93" s="183"/>
      <c r="S93" s="185">
        <v>0</v>
      </c>
      <c r="T93" s="185">
        <v>333.32999999999998</v>
      </c>
    </row>
    <row r="94" ht="14.25">
      <c r="M94" s="184">
        <v>45480</v>
      </c>
      <c r="N94" s="180" t="s">
        <v>621</v>
      </c>
      <c r="O94" s="180" t="s">
        <v>474</v>
      </c>
      <c r="P94" s="180" t="s">
        <v>622</v>
      </c>
      <c r="Q94" s="185">
        <v>1900</v>
      </c>
      <c r="R94" s="183"/>
      <c r="S94" s="185">
        <v>0</v>
      </c>
      <c r="T94" s="185">
        <v>2233.3299999999999</v>
      </c>
    </row>
    <row r="95" ht="14.25">
      <c r="M95" s="184">
        <v>45509</v>
      </c>
      <c r="N95" s="180" t="s">
        <v>623</v>
      </c>
      <c r="O95" s="180" t="s">
        <v>474</v>
      </c>
      <c r="P95" s="180" t="s">
        <v>624</v>
      </c>
      <c r="Q95" s="185">
        <v>666.66999999999996</v>
      </c>
      <c r="R95" s="183"/>
      <c r="S95" s="185">
        <v>0</v>
      </c>
      <c r="T95" s="185">
        <v>2900</v>
      </c>
    </row>
    <row r="96" ht="14.25">
      <c r="M96" s="186" t="s">
        <v>242</v>
      </c>
      <c r="N96" s="183"/>
      <c r="O96" s="180"/>
      <c r="P96" s="180"/>
      <c r="Q96" s="185">
        <v>2900</v>
      </c>
      <c r="R96" s="183"/>
      <c r="S96" s="185">
        <v>0</v>
      </c>
      <c r="T96" s="185">
        <v>2900</v>
      </c>
    </row>
    <row r="97" ht="14.25">
      <c r="M97" s="186" t="s">
        <v>625</v>
      </c>
      <c r="N97" s="181" t="s">
        <v>626</v>
      </c>
      <c r="O97" s="180"/>
      <c r="P97" s="180"/>
      <c r="Q97" s="180"/>
      <c r="R97" s="183"/>
      <c r="S97" s="180"/>
      <c r="T97" s="180"/>
    </row>
    <row r="98" ht="14.25">
      <c r="M98" s="184">
        <v>45546</v>
      </c>
      <c r="N98" s="185">
        <v>240240</v>
      </c>
      <c r="O98" s="180" t="s">
        <v>474</v>
      </c>
      <c r="P98" s="180" t="s">
        <v>627</v>
      </c>
      <c r="Q98" s="185">
        <v>100</v>
      </c>
      <c r="R98" s="183"/>
      <c r="S98" s="185">
        <v>0</v>
      </c>
      <c r="T98" s="185">
        <v>100</v>
      </c>
    </row>
    <row r="99" ht="14.25">
      <c r="M99" s="186" t="s">
        <v>242</v>
      </c>
      <c r="N99" s="182"/>
      <c r="O99" s="180"/>
      <c r="P99" s="180"/>
      <c r="Q99" s="185">
        <v>100</v>
      </c>
      <c r="R99" s="183"/>
      <c r="S99" s="185">
        <v>0</v>
      </c>
      <c r="T99" s="185">
        <v>100</v>
      </c>
    </row>
    <row r="100" ht="14.25">
      <c r="M100" s="186" t="s">
        <v>628</v>
      </c>
      <c r="N100" s="181" t="s">
        <v>629</v>
      </c>
      <c r="O100" s="180"/>
      <c r="P100" s="180"/>
      <c r="Q100" s="180"/>
      <c r="R100" s="183"/>
      <c r="S100" s="180"/>
      <c r="T100" s="180"/>
    </row>
    <row r="101" ht="14.25">
      <c r="M101" s="184">
        <v>45321</v>
      </c>
      <c r="N101" s="183"/>
      <c r="O101" s="180" t="s">
        <v>474</v>
      </c>
      <c r="P101" s="180" t="s">
        <v>630</v>
      </c>
      <c r="Q101" s="185">
        <v>16</v>
      </c>
      <c r="R101" s="183"/>
      <c r="S101" s="185">
        <v>0</v>
      </c>
      <c r="T101" s="185">
        <v>16</v>
      </c>
    </row>
    <row r="102" ht="14.25">
      <c r="M102" s="184">
        <v>45322</v>
      </c>
      <c r="N102" s="183"/>
      <c r="O102" s="180" t="s">
        <v>474</v>
      </c>
      <c r="P102" s="180" t="s">
        <v>631</v>
      </c>
      <c r="Q102" s="185">
        <v>62.710000000000001</v>
      </c>
      <c r="R102" s="183"/>
      <c r="S102" s="185">
        <v>0</v>
      </c>
      <c r="T102" s="185">
        <v>78.709999999999994</v>
      </c>
    </row>
    <row r="103" ht="14.25">
      <c r="M103" s="184">
        <v>45322</v>
      </c>
      <c r="N103" s="183"/>
      <c r="O103" s="180" t="s">
        <v>474</v>
      </c>
      <c r="P103" s="180" t="s">
        <v>632</v>
      </c>
      <c r="Q103" s="185">
        <v>46.359999999999999</v>
      </c>
      <c r="R103" s="183"/>
      <c r="S103" s="185">
        <v>0</v>
      </c>
      <c r="T103" s="185">
        <v>125.06999999999999</v>
      </c>
    </row>
    <row r="104" ht="14.25">
      <c r="M104" s="184">
        <v>45322</v>
      </c>
      <c r="N104" s="183"/>
      <c r="O104" s="180" t="s">
        <v>474</v>
      </c>
      <c r="P104" s="180" t="s">
        <v>633</v>
      </c>
      <c r="Q104" s="185">
        <v>3.5</v>
      </c>
      <c r="R104" s="183"/>
      <c r="S104" s="185">
        <v>0</v>
      </c>
      <c r="T104" s="185">
        <v>128.56999999999999</v>
      </c>
    </row>
    <row r="105" ht="14.25">
      <c r="M105" s="184">
        <v>45322</v>
      </c>
      <c r="N105" s="183"/>
      <c r="O105" s="180" t="s">
        <v>474</v>
      </c>
      <c r="P105" s="180" t="s">
        <v>634</v>
      </c>
      <c r="Q105" s="185">
        <v>12.49</v>
      </c>
      <c r="R105" s="183"/>
      <c r="S105" s="185">
        <v>0</v>
      </c>
      <c r="T105" s="185">
        <v>141.06</v>
      </c>
    </row>
    <row r="106" ht="14.25">
      <c r="M106" s="184">
        <v>45322</v>
      </c>
      <c r="N106" s="183"/>
      <c r="O106" s="180" t="s">
        <v>474</v>
      </c>
      <c r="P106" s="180" t="s">
        <v>635</v>
      </c>
      <c r="Q106" s="185">
        <v>74.299999999999997</v>
      </c>
      <c r="R106" s="183"/>
      <c r="S106" s="185">
        <v>0</v>
      </c>
      <c r="T106" s="185">
        <v>215.36000000000001</v>
      </c>
    </row>
    <row r="107" ht="14.25">
      <c r="M107" s="184">
        <v>45322</v>
      </c>
      <c r="N107" s="183"/>
      <c r="O107" s="180" t="s">
        <v>474</v>
      </c>
      <c r="P107" s="180" t="s">
        <v>636</v>
      </c>
      <c r="Q107" s="185">
        <v>18.899999999999999</v>
      </c>
      <c r="R107" s="183"/>
      <c r="S107" s="185">
        <v>0</v>
      </c>
      <c r="T107" s="185">
        <v>234.25999999999999</v>
      </c>
    </row>
    <row r="108" ht="14.25">
      <c r="M108" s="184">
        <v>45322</v>
      </c>
      <c r="N108" s="183"/>
      <c r="O108" s="180" t="s">
        <v>474</v>
      </c>
      <c r="P108" s="180" t="s">
        <v>637</v>
      </c>
      <c r="Q108" s="185">
        <v>19.5</v>
      </c>
      <c r="R108" s="183"/>
      <c r="S108" s="185">
        <v>0</v>
      </c>
      <c r="T108" s="185">
        <v>253.75999999999999</v>
      </c>
    </row>
    <row r="109" ht="14.25">
      <c r="M109" s="184">
        <v>45350</v>
      </c>
      <c r="N109" s="183"/>
      <c r="O109" s="180" t="s">
        <v>474</v>
      </c>
      <c r="P109" s="180" t="s">
        <v>638</v>
      </c>
      <c r="Q109" s="185">
        <v>25</v>
      </c>
      <c r="R109" s="183"/>
      <c r="S109" s="185">
        <v>0</v>
      </c>
      <c r="T109" s="185">
        <v>278.75999999999999</v>
      </c>
    </row>
    <row r="110" ht="14.25">
      <c r="M110" s="184">
        <v>45351</v>
      </c>
      <c r="N110" s="180"/>
      <c r="O110" s="180" t="s">
        <v>474</v>
      </c>
      <c r="P110" s="180" t="s">
        <v>639</v>
      </c>
      <c r="Q110" s="185">
        <v>57.890000000000001</v>
      </c>
      <c r="R110" s="183"/>
      <c r="S110" s="185">
        <v>0</v>
      </c>
      <c r="T110" s="185">
        <v>336.64999999999998</v>
      </c>
    </row>
    <row r="111" ht="14.25">
      <c r="M111" s="184">
        <v>45351</v>
      </c>
      <c r="N111" s="183"/>
      <c r="O111" s="180" t="s">
        <v>474</v>
      </c>
      <c r="P111" s="180" t="s">
        <v>640</v>
      </c>
      <c r="Q111" s="185">
        <v>3.5</v>
      </c>
      <c r="R111" s="183"/>
      <c r="S111" s="185">
        <v>0</v>
      </c>
      <c r="T111" s="185">
        <v>340.14999999999998</v>
      </c>
    </row>
    <row r="112" ht="14.25">
      <c r="M112" s="184">
        <v>45351</v>
      </c>
      <c r="N112" s="183"/>
      <c r="O112" s="180" t="s">
        <v>474</v>
      </c>
      <c r="P112" s="180" t="s">
        <v>641</v>
      </c>
      <c r="Q112" s="185">
        <v>74.299999999999997</v>
      </c>
      <c r="R112" s="183"/>
      <c r="S112" s="185">
        <v>0</v>
      </c>
      <c r="T112" s="185">
        <v>414.44999999999999</v>
      </c>
    </row>
    <row r="113" ht="14.25">
      <c r="M113" s="184">
        <v>45351</v>
      </c>
      <c r="N113" s="183"/>
      <c r="O113" s="180" t="s">
        <v>474</v>
      </c>
      <c r="P113" s="180" t="s">
        <v>642</v>
      </c>
      <c r="Q113" s="185">
        <v>19.5</v>
      </c>
      <c r="R113" s="183"/>
      <c r="S113" s="185">
        <v>0</v>
      </c>
      <c r="T113" s="185">
        <v>433.94999999999999</v>
      </c>
    </row>
    <row r="114" ht="14.25">
      <c r="M114" s="184">
        <v>45381</v>
      </c>
      <c r="N114" s="183"/>
      <c r="O114" s="180" t="s">
        <v>474</v>
      </c>
      <c r="P114" s="180" t="s">
        <v>643</v>
      </c>
      <c r="Q114" s="185">
        <v>25</v>
      </c>
      <c r="R114" s="183"/>
      <c r="S114" s="185">
        <v>0</v>
      </c>
      <c r="T114" s="185">
        <v>458.94999999999999</v>
      </c>
    </row>
    <row r="115" ht="14.25">
      <c r="M115" s="184">
        <v>45382</v>
      </c>
      <c r="N115" s="180"/>
      <c r="O115" s="180" t="s">
        <v>474</v>
      </c>
      <c r="P115" s="180" t="s">
        <v>644</v>
      </c>
      <c r="Q115" s="185">
        <v>79.599999999999994</v>
      </c>
      <c r="R115" s="183"/>
      <c r="S115" s="185">
        <v>0</v>
      </c>
      <c r="T115" s="185">
        <v>538.54999999999995</v>
      </c>
    </row>
    <row r="116" ht="14.25">
      <c r="M116" s="184">
        <v>45382</v>
      </c>
      <c r="N116" s="183"/>
      <c r="O116" s="180" t="s">
        <v>474</v>
      </c>
      <c r="P116" s="180" t="s">
        <v>645</v>
      </c>
      <c r="Q116" s="185">
        <v>3.5</v>
      </c>
      <c r="R116" s="183"/>
      <c r="S116" s="185">
        <v>0</v>
      </c>
      <c r="T116" s="185">
        <v>542.04999999999995</v>
      </c>
    </row>
    <row r="117" ht="14.25">
      <c r="M117" s="184">
        <v>45382</v>
      </c>
      <c r="N117" s="183"/>
      <c r="O117" s="180" t="s">
        <v>474</v>
      </c>
      <c r="P117" s="180" t="s">
        <v>646</v>
      </c>
      <c r="Q117" s="185">
        <v>74.299999999999997</v>
      </c>
      <c r="R117" s="183"/>
      <c r="S117" s="185">
        <v>0</v>
      </c>
      <c r="T117" s="185">
        <v>616.35000000000002</v>
      </c>
    </row>
    <row r="118" ht="14.25">
      <c r="M118" s="184">
        <v>45382</v>
      </c>
      <c r="N118" s="183"/>
      <c r="O118" s="180" t="s">
        <v>474</v>
      </c>
      <c r="P118" s="180" t="s">
        <v>647</v>
      </c>
      <c r="Q118" s="185">
        <v>137</v>
      </c>
      <c r="R118" s="183"/>
      <c r="S118" s="185">
        <v>0</v>
      </c>
      <c r="T118" s="185">
        <v>753.35000000000002</v>
      </c>
    </row>
    <row r="119" ht="14.25">
      <c r="M119" s="184">
        <v>45382</v>
      </c>
      <c r="N119" s="180"/>
      <c r="O119" s="180" t="s">
        <v>474</v>
      </c>
      <c r="P119" s="180" t="s">
        <v>648</v>
      </c>
      <c r="Q119" s="185">
        <v>16.870000000000001</v>
      </c>
      <c r="R119" s="183"/>
      <c r="S119" s="185">
        <v>0</v>
      </c>
      <c r="T119" s="185">
        <v>770.22000000000003</v>
      </c>
    </row>
    <row r="120" ht="14.25">
      <c r="M120" s="184">
        <v>45412</v>
      </c>
      <c r="N120" s="183"/>
      <c r="O120" s="180" t="s">
        <v>474</v>
      </c>
      <c r="P120" s="180" t="s">
        <v>649</v>
      </c>
      <c r="Q120" s="185">
        <v>14.26</v>
      </c>
      <c r="R120" s="183"/>
      <c r="S120" s="185">
        <v>0</v>
      </c>
      <c r="T120" s="185">
        <v>784.48000000000002</v>
      </c>
    </row>
    <row r="121" ht="14.25">
      <c r="M121" s="184">
        <v>45412</v>
      </c>
      <c r="N121" s="183"/>
      <c r="O121" s="180" t="s">
        <v>474</v>
      </c>
      <c r="P121" s="180" t="s">
        <v>650</v>
      </c>
      <c r="Q121" s="185">
        <v>3.5</v>
      </c>
      <c r="R121" s="183"/>
      <c r="S121" s="185">
        <v>0</v>
      </c>
      <c r="T121" s="185">
        <v>787.98000000000002</v>
      </c>
    </row>
    <row r="122" ht="14.25">
      <c r="M122" s="184">
        <v>45412</v>
      </c>
      <c r="N122" s="183"/>
      <c r="O122" s="180" t="s">
        <v>474</v>
      </c>
      <c r="P122" s="180" t="s">
        <v>651</v>
      </c>
      <c r="Q122" s="185">
        <v>74.299999999999997</v>
      </c>
      <c r="R122" s="183"/>
      <c r="S122" s="185">
        <v>0</v>
      </c>
      <c r="T122" s="185">
        <v>862.27999999999997</v>
      </c>
    </row>
    <row r="123" ht="14.25">
      <c r="M123" s="184">
        <v>45412</v>
      </c>
      <c r="N123" s="183"/>
      <c r="O123" s="180" t="s">
        <v>474</v>
      </c>
      <c r="P123" s="180" t="s">
        <v>652</v>
      </c>
      <c r="Q123" s="185">
        <v>218</v>
      </c>
      <c r="R123" s="183"/>
      <c r="S123" s="185">
        <v>0</v>
      </c>
      <c r="T123" s="185">
        <v>1080.28</v>
      </c>
    </row>
    <row r="124" ht="14.25">
      <c r="M124" s="184">
        <v>45412</v>
      </c>
      <c r="N124" s="183"/>
      <c r="O124" s="180" t="s">
        <v>474</v>
      </c>
      <c r="P124" s="180" t="s">
        <v>653</v>
      </c>
      <c r="Q124" s="185">
        <v>19.5</v>
      </c>
      <c r="R124" s="183"/>
      <c r="S124" s="185">
        <v>0</v>
      </c>
      <c r="T124" s="185">
        <v>1099.78</v>
      </c>
    </row>
    <row r="125" ht="14.25">
      <c r="M125" s="184">
        <v>45412</v>
      </c>
      <c r="N125" s="183"/>
      <c r="O125" s="180" t="s">
        <v>474</v>
      </c>
      <c r="P125" s="180" t="s">
        <v>649</v>
      </c>
      <c r="Q125" s="185">
        <v>24.449999999999999</v>
      </c>
      <c r="R125" s="183"/>
      <c r="S125" s="185">
        <v>0</v>
      </c>
      <c r="T125" s="185">
        <v>1124.23</v>
      </c>
    </row>
    <row r="126" ht="14.25">
      <c r="M126" s="184">
        <v>45412</v>
      </c>
      <c r="N126" s="183"/>
      <c r="O126" s="180" t="s">
        <v>474</v>
      </c>
      <c r="P126" s="180" t="s">
        <v>654</v>
      </c>
      <c r="Q126" s="185">
        <v>25</v>
      </c>
      <c r="R126" s="183"/>
      <c r="S126" s="185">
        <v>0</v>
      </c>
      <c r="T126" s="185">
        <v>1149.23</v>
      </c>
    </row>
    <row r="127" ht="14.25">
      <c r="M127" s="184">
        <v>45412</v>
      </c>
      <c r="N127" s="183"/>
      <c r="O127" s="180" t="s">
        <v>474</v>
      </c>
      <c r="P127" s="180" t="s">
        <v>655</v>
      </c>
      <c r="Q127" s="185">
        <v>43.420000000000002</v>
      </c>
      <c r="R127" s="183"/>
      <c r="S127" s="185">
        <v>0</v>
      </c>
      <c r="T127" s="185">
        <v>1192.6500000000001</v>
      </c>
    </row>
    <row r="128" ht="14.25">
      <c r="M128" s="184">
        <v>45443</v>
      </c>
      <c r="N128" s="180"/>
      <c r="O128" s="180" t="s">
        <v>474</v>
      </c>
      <c r="P128" s="180" t="s">
        <v>656</v>
      </c>
      <c r="Q128" s="185">
        <v>50.649999999999999</v>
      </c>
      <c r="R128" s="183"/>
      <c r="S128" s="185">
        <v>0</v>
      </c>
      <c r="T128" s="185">
        <v>1243.3</v>
      </c>
    </row>
    <row r="129" ht="14.25">
      <c r="M129" s="184">
        <v>45443</v>
      </c>
      <c r="N129" s="183"/>
      <c r="O129" s="180" t="s">
        <v>474</v>
      </c>
      <c r="P129" s="180" t="s">
        <v>657</v>
      </c>
      <c r="Q129" s="185">
        <v>118</v>
      </c>
      <c r="R129" s="183"/>
      <c r="S129" s="185">
        <v>0</v>
      </c>
      <c r="T129" s="185">
        <v>1361.3</v>
      </c>
    </row>
    <row r="130" ht="14.25">
      <c r="M130" s="184">
        <v>45443</v>
      </c>
      <c r="N130" s="183"/>
      <c r="O130" s="180" t="s">
        <v>474</v>
      </c>
      <c r="P130" s="180" t="s">
        <v>658</v>
      </c>
      <c r="Q130" s="185">
        <v>25</v>
      </c>
      <c r="R130" s="183"/>
      <c r="S130" s="185">
        <v>0</v>
      </c>
      <c r="T130" s="185">
        <v>1386.3</v>
      </c>
    </row>
    <row r="131" ht="14.25">
      <c r="M131" s="184">
        <v>45443</v>
      </c>
      <c r="N131" s="183"/>
      <c r="O131" s="180" t="s">
        <v>474</v>
      </c>
      <c r="P131" s="180" t="s">
        <v>659</v>
      </c>
      <c r="Q131" s="185">
        <v>3.5</v>
      </c>
      <c r="R131" s="183"/>
      <c r="S131" s="185">
        <v>0</v>
      </c>
      <c r="T131" s="185">
        <v>1389.8</v>
      </c>
    </row>
    <row r="132" ht="14.25">
      <c r="M132" s="184">
        <v>45443</v>
      </c>
      <c r="N132" s="183"/>
      <c r="O132" s="180" t="s">
        <v>474</v>
      </c>
      <c r="P132" s="180" t="s">
        <v>660</v>
      </c>
      <c r="Q132" s="185">
        <v>74.299999999999997</v>
      </c>
      <c r="R132" s="183"/>
      <c r="S132" s="185">
        <v>0</v>
      </c>
      <c r="T132" s="185">
        <v>1464.0999999999999</v>
      </c>
    </row>
    <row r="133" ht="14.25">
      <c r="M133" s="184">
        <v>45473</v>
      </c>
      <c r="N133" s="183"/>
      <c r="O133" s="180" t="s">
        <v>474</v>
      </c>
      <c r="P133" s="180" t="s">
        <v>661</v>
      </c>
      <c r="Q133" s="185">
        <v>159.19</v>
      </c>
      <c r="R133" s="183"/>
      <c r="S133" s="185">
        <v>0</v>
      </c>
      <c r="T133" s="185">
        <v>1623.29</v>
      </c>
    </row>
    <row r="134" ht="14.25">
      <c r="M134" s="184">
        <v>45473</v>
      </c>
      <c r="N134" s="180"/>
      <c r="O134" s="180" t="s">
        <v>474</v>
      </c>
      <c r="P134" s="180" t="s">
        <v>662</v>
      </c>
      <c r="Q134" s="185">
        <v>9.6699999999999999</v>
      </c>
      <c r="R134" s="183"/>
      <c r="S134" s="185">
        <v>0</v>
      </c>
      <c r="T134" s="185">
        <v>1632.96</v>
      </c>
    </row>
    <row r="135" ht="14.25">
      <c r="M135" s="184">
        <v>45473</v>
      </c>
      <c r="N135" s="183"/>
      <c r="O135" s="180" t="s">
        <v>474</v>
      </c>
      <c r="P135" s="180" t="s">
        <v>663</v>
      </c>
      <c r="Q135" s="185">
        <v>3.5</v>
      </c>
      <c r="R135" s="183"/>
      <c r="S135" s="185">
        <v>0</v>
      </c>
      <c r="T135" s="185">
        <v>1636.46</v>
      </c>
    </row>
    <row r="136" ht="14.25">
      <c r="M136" s="184">
        <v>45473</v>
      </c>
      <c r="N136" s="180"/>
      <c r="O136" s="180" t="s">
        <v>474</v>
      </c>
      <c r="P136" s="180" t="s">
        <v>664</v>
      </c>
      <c r="Q136" s="185">
        <v>74.299999999999997</v>
      </c>
      <c r="R136" s="183"/>
      <c r="S136" s="185">
        <v>0</v>
      </c>
      <c r="T136" s="185">
        <v>1710.76</v>
      </c>
    </row>
    <row r="137" ht="14.25">
      <c r="M137" s="184">
        <v>45473</v>
      </c>
      <c r="N137" s="183"/>
      <c r="O137" s="180" t="s">
        <v>474</v>
      </c>
      <c r="P137" s="180" t="s">
        <v>665</v>
      </c>
      <c r="Q137" s="185">
        <v>39</v>
      </c>
      <c r="R137" s="183"/>
      <c r="S137" s="185">
        <v>0</v>
      </c>
      <c r="T137" s="185">
        <v>1749.76</v>
      </c>
    </row>
    <row r="138" ht="14.25">
      <c r="M138" s="184">
        <v>45504</v>
      </c>
      <c r="N138" s="183"/>
      <c r="O138" s="180" t="s">
        <v>474</v>
      </c>
      <c r="P138" s="180" t="s">
        <v>666</v>
      </c>
      <c r="Q138" s="185">
        <v>86.829999999999998</v>
      </c>
      <c r="R138" s="183"/>
      <c r="S138" s="185">
        <v>0</v>
      </c>
      <c r="T138" s="185">
        <v>1836.5899999999999</v>
      </c>
    </row>
    <row r="139" ht="14.25">
      <c r="M139" s="184">
        <v>45504</v>
      </c>
      <c r="N139" s="180"/>
      <c r="O139" s="180" t="s">
        <v>474</v>
      </c>
      <c r="P139" s="180" t="s">
        <v>667</v>
      </c>
      <c r="Q139" s="185">
        <v>3.5</v>
      </c>
      <c r="R139" s="183"/>
      <c r="S139" s="185">
        <v>0</v>
      </c>
      <c r="T139" s="185">
        <v>1840.0899999999999</v>
      </c>
    </row>
    <row r="140" ht="14.25">
      <c r="M140" s="184">
        <v>45504</v>
      </c>
      <c r="N140" s="183"/>
      <c r="O140" s="180" t="s">
        <v>474</v>
      </c>
      <c r="P140" s="180" t="s">
        <v>668</v>
      </c>
      <c r="Q140" s="185">
        <v>74.299999999999997</v>
      </c>
      <c r="R140" s="183"/>
      <c r="S140" s="185">
        <v>0</v>
      </c>
      <c r="T140" s="185">
        <v>1914.3900000000001</v>
      </c>
    </row>
    <row r="141" ht="14.25">
      <c r="M141" s="184">
        <v>45504</v>
      </c>
      <c r="N141" s="183"/>
      <c r="O141" s="180" t="s">
        <v>474</v>
      </c>
      <c r="P141" s="180" t="s">
        <v>669</v>
      </c>
      <c r="Q141" s="185">
        <v>25.309999999999999</v>
      </c>
      <c r="R141" s="183"/>
      <c r="S141" s="185">
        <v>0</v>
      </c>
      <c r="T141" s="185">
        <v>1939.7</v>
      </c>
    </row>
    <row r="142" ht="14.25">
      <c r="M142" s="184">
        <v>45534</v>
      </c>
      <c r="N142" s="183"/>
      <c r="O142" s="180" t="s">
        <v>474</v>
      </c>
      <c r="P142" s="180" t="s">
        <v>670</v>
      </c>
      <c r="Q142" s="185">
        <v>14.470000000000001</v>
      </c>
      <c r="R142" s="183"/>
      <c r="S142" s="185">
        <v>0</v>
      </c>
      <c r="T142" s="185">
        <v>1954.1700000000001</v>
      </c>
    </row>
    <row r="143" ht="14.25">
      <c r="M143" s="184">
        <v>45534</v>
      </c>
      <c r="N143" s="183"/>
      <c r="O143" s="180" t="s">
        <v>474</v>
      </c>
      <c r="P143" s="180" t="s">
        <v>671</v>
      </c>
      <c r="Q143" s="185">
        <v>77.799999999999997</v>
      </c>
      <c r="R143" s="183"/>
      <c r="S143" s="185">
        <v>0</v>
      </c>
      <c r="T143" s="185">
        <v>2031.97</v>
      </c>
    </row>
    <row r="144" ht="14.25">
      <c r="M144" s="184">
        <v>45534</v>
      </c>
      <c r="N144" s="183"/>
      <c r="O144" s="180" t="s">
        <v>474</v>
      </c>
      <c r="P144" s="180" t="s">
        <v>672</v>
      </c>
      <c r="Q144" s="185">
        <v>16.300000000000001</v>
      </c>
      <c r="R144" s="183"/>
      <c r="S144" s="185">
        <v>0</v>
      </c>
      <c r="T144" s="185">
        <v>2048.27</v>
      </c>
    </row>
    <row r="145" ht="14.25">
      <c r="M145" s="184">
        <v>45565</v>
      </c>
      <c r="N145" s="180"/>
      <c r="O145" s="180" t="s">
        <v>474</v>
      </c>
      <c r="P145" s="180" t="s">
        <v>673</v>
      </c>
      <c r="Q145" s="185">
        <v>61.509999999999998</v>
      </c>
      <c r="R145" s="183"/>
      <c r="S145" s="185">
        <v>0</v>
      </c>
      <c r="T145" s="185">
        <v>2109.7800000000002</v>
      </c>
    </row>
    <row r="146" ht="14.25">
      <c r="M146" s="184">
        <v>45565</v>
      </c>
      <c r="N146" s="183"/>
      <c r="O146" s="180" t="s">
        <v>474</v>
      </c>
      <c r="P146" s="180" t="s">
        <v>674</v>
      </c>
      <c r="Q146" s="185">
        <v>74.299999999999997</v>
      </c>
      <c r="R146" s="183"/>
      <c r="S146" s="185">
        <v>0</v>
      </c>
      <c r="T146" s="185">
        <v>2184.0799999999999</v>
      </c>
    </row>
    <row r="147" ht="14.25">
      <c r="M147" s="184">
        <v>45565</v>
      </c>
      <c r="N147" s="183"/>
      <c r="O147" s="180" t="s">
        <v>474</v>
      </c>
      <c r="P147" s="180" t="s">
        <v>675</v>
      </c>
      <c r="Q147" s="185">
        <v>3.5</v>
      </c>
      <c r="R147" s="183"/>
      <c r="S147" s="185">
        <v>0</v>
      </c>
      <c r="T147" s="185">
        <v>2187.5799999999999</v>
      </c>
    </row>
    <row r="148" ht="14.25">
      <c r="M148" s="184">
        <v>45565</v>
      </c>
      <c r="N148" s="183"/>
      <c r="O148" s="180" t="s">
        <v>474</v>
      </c>
      <c r="P148" s="180" t="s">
        <v>676</v>
      </c>
      <c r="Q148" s="185">
        <v>31</v>
      </c>
      <c r="R148" s="183"/>
      <c r="S148" s="185">
        <v>0</v>
      </c>
      <c r="T148" s="185">
        <v>2218.5799999999999</v>
      </c>
    </row>
    <row r="149" ht="14.25">
      <c r="M149" s="184">
        <v>45565</v>
      </c>
      <c r="N149" s="183"/>
      <c r="O149" s="180" t="s">
        <v>474</v>
      </c>
      <c r="P149" s="180" t="s">
        <v>677</v>
      </c>
      <c r="Q149" s="185">
        <v>19.5</v>
      </c>
      <c r="R149" s="183"/>
      <c r="S149" s="185">
        <v>0</v>
      </c>
      <c r="T149" s="185">
        <v>2238.0799999999999</v>
      </c>
    </row>
    <row r="150" ht="14.25">
      <c r="M150" s="184">
        <v>45565</v>
      </c>
      <c r="N150" s="183"/>
      <c r="O150" s="180" t="s">
        <v>474</v>
      </c>
      <c r="P150" s="180" t="s">
        <v>678</v>
      </c>
      <c r="Q150" s="185">
        <v>145.36000000000001</v>
      </c>
      <c r="R150" s="183"/>
      <c r="S150" s="185">
        <v>0</v>
      </c>
      <c r="T150" s="185">
        <v>2383.4400000000001</v>
      </c>
    </row>
    <row r="151" ht="14.25">
      <c r="M151" s="184">
        <v>45565</v>
      </c>
      <c r="N151" s="183"/>
      <c r="O151" s="180" t="s">
        <v>474</v>
      </c>
      <c r="P151" s="180" t="s">
        <v>679</v>
      </c>
      <c r="Q151" s="185">
        <v>354</v>
      </c>
      <c r="R151" s="183"/>
      <c r="S151" s="185">
        <v>0</v>
      </c>
      <c r="T151" s="185">
        <v>2737.4400000000001</v>
      </c>
    </row>
    <row r="152" ht="14.25">
      <c r="M152" s="184">
        <v>45596</v>
      </c>
      <c r="N152" s="180"/>
      <c r="O152" s="180" t="s">
        <v>474</v>
      </c>
      <c r="P152" s="180" t="s">
        <v>680</v>
      </c>
      <c r="Q152" s="185">
        <v>74.299999999999997</v>
      </c>
      <c r="R152" s="183"/>
      <c r="S152" s="185">
        <v>0</v>
      </c>
      <c r="T152" s="185">
        <v>2811.7399999999998</v>
      </c>
    </row>
    <row r="153" ht="14.25">
      <c r="M153" s="184">
        <v>45596</v>
      </c>
      <c r="N153" s="183"/>
      <c r="O153" s="180" t="s">
        <v>474</v>
      </c>
      <c r="P153" s="180" t="s">
        <v>681</v>
      </c>
      <c r="Q153" s="185">
        <v>3.5</v>
      </c>
      <c r="R153" s="183"/>
      <c r="S153" s="185">
        <v>0</v>
      </c>
      <c r="T153" s="185">
        <v>2815.2399999999998</v>
      </c>
    </row>
    <row r="154" ht="14.25">
      <c r="M154" s="184">
        <v>45596</v>
      </c>
      <c r="N154" s="183"/>
      <c r="O154" s="180" t="s">
        <v>474</v>
      </c>
      <c r="P154" s="180" t="s">
        <v>682</v>
      </c>
      <c r="Q154" s="185">
        <v>221.69</v>
      </c>
      <c r="R154" s="183"/>
      <c r="S154" s="185">
        <v>0</v>
      </c>
      <c r="T154" s="185">
        <v>3036.9299999999998</v>
      </c>
    </row>
    <row r="155" ht="14.25">
      <c r="M155" s="184">
        <v>45596</v>
      </c>
      <c r="N155" s="183"/>
      <c r="O155" s="180" t="s">
        <v>474</v>
      </c>
      <c r="P155" s="180" t="s">
        <v>683</v>
      </c>
      <c r="Q155" s="185">
        <v>25.32</v>
      </c>
      <c r="R155" s="183"/>
      <c r="S155" s="185">
        <v>0</v>
      </c>
      <c r="T155" s="185">
        <v>3062.25</v>
      </c>
    </row>
    <row r="156" ht="14.25">
      <c r="M156" s="186" t="s">
        <v>242</v>
      </c>
      <c r="N156" s="183"/>
      <c r="O156" s="180"/>
      <c r="P156" s="180"/>
      <c r="Q156" s="185">
        <v>3062.25</v>
      </c>
      <c r="R156" s="183"/>
      <c r="S156" s="185">
        <v>0</v>
      </c>
      <c r="T156" s="185">
        <v>3062.25</v>
      </c>
    </row>
    <row r="157" ht="14.25">
      <c r="M157" s="186" t="s">
        <v>684</v>
      </c>
      <c r="N157" s="180" t="s">
        <v>471</v>
      </c>
      <c r="O157" s="180"/>
      <c r="P157" s="180"/>
      <c r="Q157" s="180"/>
      <c r="R157" s="183"/>
      <c r="S157" s="180"/>
      <c r="T157" s="180"/>
    </row>
    <row r="158" ht="14.25">
      <c r="M158" s="184">
        <v>45382</v>
      </c>
      <c r="N158" s="180"/>
      <c r="O158" s="180" t="s">
        <v>474</v>
      </c>
      <c r="P158" s="180" t="s">
        <v>685</v>
      </c>
      <c r="Q158" s="185">
        <v>156.66</v>
      </c>
      <c r="R158" s="183"/>
      <c r="S158" s="185">
        <v>0</v>
      </c>
      <c r="T158" s="185">
        <v>156.66</v>
      </c>
    </row>
    <row r="159" ht="14.25">
      <c r="M159" s="184">
        <v>45382</v>
      </c>
      <c r="N159" s="183"/>
      <c r="O159" s="180" t="s">
        <v>474</v>
      </c>
      <c r="P159" s="180" t="s">
        <v>686</v>
      </c>
      <c r="Q159" s="185">
        <v>14.550000000000001</v>
      </c>
      <c r="R159" s="183"/>
      <c r="S159" s="185">
        <v>0</v>
      </c>
      <c r="T159" s="185">
        <v>171.21000000000001</v>
      </c>
    </row>
    <row r="160" ht="14.25">
      <c r="M160" s="184">
        <v>45443</v>
      </c>
      <c r="N160" s="183"/>
      <c r="O160" s="180" t="s">
        <v>474</v>
      </c>
      <c r="P160" s="180" t="s">
        <v>687</v>
      </c>
      <c r="Q160" s="185">
        <v>54</v>
      </c>
      <c r="R160" s="183"/>
      <c r="S160" s="185">
        <v>0</v>
      </c>
      <c r="T160" s="185">
        <v>225.21000000000001</v>
      </c>
    </row>
    <row r="161" ht="14.25">
      <c r="M161" s="184">
        <v>45504</v>
      </c>
      <c r="N161" s="180"/>
      <c r="O161" s="180" t="s">
        <v>474</v>
      </c>
      <c r="P161" s="180" t="s">
        <v>688</v>
      </c>
      <c r="Q161" s="185">
        <v>95.859999999999999</v>
      </c>
      <c r="R161" s="183"/>
      <c r="S161" s="185">
        <v>0</v>
      </c>
      <c r="T161" s="185">
        <v>321.06999999999999</v>
      </c>
    </row>
    <row r="162" ht="14.25">
      <c r="M162" s="184">
        <v>45565</v>
      </c>
      <c r="N162" s="183"/>
      <c r="O162" s="180" t="s">
        <v>474</v>
      </c>
      <c r="P162" s="180" t="s">
        <v>689</v>
      </c>
      <c r="Q162" s="185">
        <v>41.829999999999998</v>
      </c>
      <c r="R162" s="183"/>
      <c r="S162" s="185">
        <v>0</v>
      </c>
      <c r="T162" s="185">
        <v>362.89999999999998</v>
      </c>
    </row>
    <row r="163" ht="14.25">
      <c r="M163" s="184">
        <v>45596</v>
      </c>
      <c r="N163" s="183"/>
      <c r="O163" s="180" t="s">
        <v>474</v>
      </c>
      <c r="P163" s="180" t="s">
        <v>690</v>
      </c>
      <c r="Q163" s="185">
        <v>25.359999999999999</v>
      </c>
      <c r="R163" s="183"/>
      <c r="S163" s="185">
        <v>0</v>
      </c>
      <c r="T163" s="185">
        <v>388.25999999999999</v>
      </c>
    </row>
    <row r="164" ht="14.25">
      <c r="M164" s="186" t="s">
        <v>242</v>
      </c>
      <c r="N164" s="183"/>
      <c r="O164" s="180"/>
      <c r="P164" s="180"/>
      <c r="Q164" s="185">
        <v>388.25999999999999</v>
      </c>
      <c r="R164" s="183"/>
      <c r="S164" s="185">
        <v>0</v>
      </c>
      <c r="T164" s="185">
        <v>388.25999999999999</v>
      </c>
    </row>
    <row r="165" ht="14.25">
      <c r="M165" s="186" t="s">
        <v>691</v>
      </c>
      <c r="N165" s="180" t="s">
        <v>692</v>
      </c>
      <c r="O165" s="180"/>
      <c r="P165" s="180"/>
      <c r="Q165" s="180"/>
      <c r="R165" s="183"/>
      <c r="S165" s="180"/>
      <c r="T165" s="180"/>
    </row>
    <row r="166" ht="14.25">
      <c r="M166" s="184">
        <v>45321</v>
      </c>
      <c r="N166" s="183"/>
      <c r="O166" s="180" t="s">
        <v>474</v>
      </c>
      <c r="P166" s="180" t="s">
        <v>693</v>
      </c>
      <c r="Q166" s="185">
        <v>13.33</v>
      </c>
      <c r="R166" s="183"/>
      <c r="S166" s="185">
        <v>0</v>
      </c>
      <c r="T166" s="185">
        <v>13.33</v>
      </c>
    </row>
    <row r="167" ht="14.25">
      <c r="M167" s="184">
        <v>45322</v>
      </c>
      <c r="N167" s="183"/>
      <c r="O167" s="180" t="s">
        <v>474</v>
      </c>
      <c r="P167" s="180" t="s">
        <v>694</v>
      </c>
      <c r="Q167" s="185">
        <v>49.020000000000003</v>
      </c>
      <c r="R167" s="183"/>
      <c r="S167" s="185">
        <v>0</v>
      </c>
      <c r="T167" s="185">
        <v>62.350000000000001</v>
      </c>
    </row>
    <row r="168" ht="14.25">
      <c r="M168" s="184">
        <v>45504</v>
      </c>
      <c r="N168" s="183"/>
      <c r="O168" s="180" t="s">
        <v>474</v>
      </c>
      <c r="P168" s="180" t="s">
        <v>695</v>
      </c>
      <c r="Q168" s="185">
        <v>6.9100000000000001</v>
      </c>
      <c r="R168" s="183"/>
      <c r="S168" s="185">
        <v>0</v>
      </c>
      <c r="T168" s="185">
        <v>69.260000000000005</v>
      </c>
    </row>
    <row r="169" ht="14.25">
      <c r="M169" s="186" t="s">
        <v>242</v>
      </c>
      <c r="N169" s="183"/>
      <c r="O169" s="180"/>
      <c r="P169" s="180"/>
      <c r="Q169" s="185">
        <v>69.260000000000005</v>
      </c>
      <c r="R169" s="183"/>
      <c r="S169" s="185">
        <v>0</v>
      </c>
      <c r="T169" s="185">
        <v>69.260000000000005</v>
      </c>
    </row>
    <row r="170" ht="14.25">
      <c r="M170" s="186" t="s">
        <v>696</v>
      </c>
      <c r="N170" s="181" t="s">
        <v>697</v>
      </c>
      <c r="O170" s="180"/>
      <c r="P170" s="180"/>
      <c r="Q170" s="180"/>
      <c r="R170" s="183"/>
      <c r="S170" s="180"/>
      <c r="T170" s="180"/>
    </row>
    <row r="171" ht="14.25">
      <c r="M171" s="184">
        <v>45322</v>
      </c>
      <c r="N171" s="183"/>
      <c r="O171" s="180" t="s">
        <v>474</v>
      </c>
      <c r="P171" s="180" t="s">
        <v>698</v>
      </c>
      <c r="Q171" s="185">
        <v>18.32</v>
      </c>
      <c r="R171" s="183"/>
      <c r="S171" s="185">
        <v>0</v>
      </c>
      <c r="T171" s="185">
        <v>18.32</v>
      </c>
    </row>
    <row r="172" ht="14.25">
      <c r="M172" s="184">
        <v>45350</v>
      </c>
      <c r="N172" s="182"/>
      <c r="O172" s="180" t="s">
        <v>474</v>
      </c>
      <c r="P172" s="180" t="s">
        <v>699</v>
      </c>
      <c r="Q172" s="185">
        <v>13.33</v>
      </c>
      <c r="R172" s="183"/>
      <c r="S172" s="185">
        <v>0</v>
      </c>
      <c r="T172" s="185">
        <v>31.649999999999999</v>
      </c>
    </row>
    <row r="173" ht="14.25">
      <c r="M173" s="184">
        <v>45351</v>
      </c>
      <c r="N173" s="182"/>
      <c r="O173" s="180" t="s">
        <v>474</v>
      </c>
      <c r="P173" s="180" t="s">
        <v>700</v>
      </c>
      <c r="Q173" s="185">
        <v>18.809999999999999</v>
      </c>
      <c r="R173" s="183"/>
      <c r="S173" s="185">
        <v>0</v>
      </c>
      <c r="T173" s="185">
        <v>50.460000000000001</v>
      </c>
    </row>
    <row r="174" ht="14.25">
      <c r="M174" s="184">
        <v>45351</v>
      </c>
      <c r="N174" s="182"/>
      <c r="O174" s="180" t="s">
        <v>474</v>
      </c>
      <c r="P174" s="180" t="s">
        <v>701</v>
      </c>
      <c r="Q174" s="185">
        <v>12.49</v>
      </c>
      <c r="R174" s="183"/>
      <c r="S174" s="185">
        <v>0</v>
      </c>
      <c r="T174" s="185">
        <v>62.950000000000003</v>
      </c>
    </row>
    <row r="175" ht="14.25">
      <c r="M175" s="184">
        <v>45381</v>
      </c>
      <c r="N175" s="183"/>
      <c r="O175" s="180" t="s">
        <v>474</v>
      </c>
      <c r="P175" s="180" t="s">
        <v>702</v>
      </c>
      <c r="Q175" s="185">
        <v>13.33</v>
      </c>
      <c r="R175" s="183"/>
      <c r="S175" s="185">
        <v>0</v>
      </c>
      <c r="T175" s="185">
        <v>76.280000000000001</v>
      </c>
    </row>
    <row r="176" ht="14.25">
      <c r="M176" s="184">
        <v>45382</v>
      </c>
      <c r="N176" s="182"/>
      <c r="O176" s="180" t="s">
        <v>474</v>
      </c>
      <c r="P176" s="180" t="s">
        <v>703</v>
      </c>
      <c r="Q176" s="185">
        <v>18.32</v>
      </c>
      <c r="R176" s="183"/>
      <c r="S176" s="185">
        <v>0</v>
      </c>
      <c r="T176" s="185">
        <v>94.599999999999994</v>
      </c>
    </row>
    <row r="177" ht="14.25">
      <c r="M177" s="184">
        <v>45382</v>
      </c>
      <c r="N177" s="182"/>
      <c r="O177" s="180" t="s">
        <v>474</v>
      </c>
      <c r="P177" s="180" t="s">
        <v>704</v>
      </c>
      <c r="Q177" s="185">
        <v>12.49</v>
      </c>
      <c r="R177" s="183"/>
      <c r="S177" s="185">
        <v>0</v>
      </c>
      <c r="T177" s="185">
        <v>107.09</v>
      </c>
    </row>
    <row r="178" ht="14.25">
      <c r="M178" s="184">
        <v>45412</v>
      </c>
      <c r="N178" s="182"/>
      <c r="O178" s="180" t="s">
        <v>474</v>
      </c>
      <c r="P178" s="180" t="s">
        <v>705</v>
      </c>
      <c r="Q178" s="185">
        <v>12.49</v>
      </c>
      <c r="R178" s="183"/>
      <c r="S178" s="185">
        <v>0</v>
      </c>
      <c r="T178" s="185">
        <v>119.58</v>
      </c>
    </row>
    <row r="179" ht="14.25">
      <c r="M179" s="184">
        <v>45412</v>
      </c>
      <c r="N179" s="182"/>
      <c r="O179" s="180" t="s">
        <v>474</v>
      </c>
      <c r="P179" s="180" t="s">
        <v>706</v>
      </c>
      <c r="Q179" s="185">
        <v>13.33</v>
      </c>
      <c r="R179" s="183"/>
      <c r="S179" s="185">
        <v>0</v>
      </c>
      <c r="T179" s="185">
        <v>132.91</v>
      </c>
    </row>
    <row r="180" ht="14.25">
      <c r="M180" s="184">
        <v>45412</v>
      </c>
      <c r="N180" s="180"/>
      <c r="O180" s="180" t="s">
        <v>474</v>
      </c>
      <c r="P180" s="180" t="s">
        <v>707</v>
      </c>
      <c r="Q180" s="185">
        <v>18.32</v>
      </c>
      <c r="R180" s="183"/>
      <c r="S180" s="185">
        <v>0</v>
      </c>
      <c r="T180" s="185">
        <v>151.22999999999999</v>
      </c>
    </row>
    <row r="181" ht="14.25">
      <c r="M181" s="184">
        <v>45443</v>
      </c>
      <c r="N181" s="183"/>
      <c r="O181" s="180" t="s">
        <v>474</v>
      </c>
      <c r="P181" s="180" t="s">
        <v>708</v>
      </c>
      <c r="Q181" s="185">
        <v>89.579999999999998</v>
      </c>
      <c r="R181" s="183"/>
      <c r="S181" s="185">
        <v>0</v>
      </c>
      <c r="T181" s="185">
        <v>240.81</v>
      </c>
    </row>
    <row r="182" ht="14.25">
      <c r="M182" s="184">
        <v>45443</v>
      </c>
      <c r="N182" s="182"/>
      <c r="O182" s="180" t="s">
        <v>474</v>
      </c>
      <c r="P182" s="180" t="s">
        <v>709</v>
      </c>
      <c r="Q182" s="185">
        <v>13.33</v>
      </c>
      <c r="R182" s="183"/>
      <c r="S182" s="185">
        <v>0</v>
      </c>
      <c r="T182" s="185">
        <v>254.13999999999999</v>
      </c>
    </row>
    <row r="183" ht="14.25">
      <c r="M183" s="184">
        <v>45443</v>
      </c>
      <c r="N183" s="180"/>
      <c r="O183" s="180" t="s">
        <v>474</v>
      </c>
      <c r="P183" s="180" t="s">
        <v>710</v>
      </c>
      <c r="Q183" s="185">
        <v>12.49</v>
      </c>
      <c r="R183" s="183"/>
      <c r="S183" s="185">
        <v>0</v>
      </c>
      <c r="T183" s="185">
        <v>266.63</v>
      </c>
    </row>
    <row r="184" ht="14.25">
      <c r="M184" s="184">
        <v>45473</v>
      </c>
      <c r="N184" s="182"/>
      <c r="O184" s="180" t="s">
        <v>474</v>
      </c>
      <c r="P184" s="180" t="s">
        <v>711</v>
      </c>
      <c r="Q184" s="185">
        <v>18.32</v>
      </c>
      <c r="R184" s="183"/>
      <c r="S184" s="185">
        <v>0</v>
      </c>
      <c r="T184" s="185">
        <v>284.94999999999999</v>
      </c>
    </row>
    <row r="185" ht="14.25">
      <c r="M185" s="184">
        <v>45473</v>
      </c>
      <c r="N185" s="182"/>
      <c r="O185" s="180" t="s">
        <v>474</v>
      </c>
      <c r="P185" s="180" t="s">
        <v>712</v>
      </c>
      <c r="Q185" s="185">
        <v>12.49</v>
      </c>
      <c r="R185" s="183"/>
      <c r="S185" s="185">
        <v>0</v>
      </c>
      <c r="T185" s="185">
        <v>297.44</v>
      </c>
    </row>
    <row r="186" ht="14.25">
      <c r="M186" s="184">
        <v>45504</v>
      </c>
      <c r="N186" s="182"/>
      <c r="O186" s="180" t="s">
        <v>474</v>
      </c>
      <c r="P186" s="180" t="s">
        <v>713</v>
      </c>
      <c r="Q186" s="185">
        <v>18.32</v>
      </c>
      <c r="R186" s="183"/>
      <c r="S186" s="185">
        <v>0</v>
      </c>
      <c r="T186" s="185">
        <v>315.75999999999999</v>
      </c>
    </row>
    <row r="187" ht="14.25">
      <c r="M187" s="184">
        <v>45504</v>
      </c>
      <c r="N187" s="183"/>
      <c r="O187" s="180" t="s">
        <v>474</v>
      </c>
      <c r="P187" s="180" t="s">
        <v>714</v>
      </c>
      <c r="Q187" s="185">
        <v>12.49</v>
      </c>
      <c r="R187" s="183"/>
      <c r="S187" s="185">
        <v>0</v>
      </c>
      <c r="T187" s="185">
        <v>328.25</v>
      </c>
    </row>
    <row r="188" ht="14.25">
      <c r="M188" s="184">
        <v>45534</v>
      </c>
      <c r="N188" s="182"/>
      <c r="O188" s="180" t="s">
        <v>474</v>
      </c>
      <c r="P188" s="180" t="s">
        <v>715</v>
      </c>
      <c r="Q188" s="185">
        <v>18.32</v>
      </c>
      <c r="R188" s="183"/>
      <c r="S188" s="185">
        <v>0</v>
      </c>
      <c r="T188" s="185">
        <v>346.56999999999999</v>
      </c>
    </row>
    <row r="189" ht="14.25">
      <c r="M189" s="184">
        <v>45534</v>
      </c>
      <c r="N189" s="182"/>
      <c r="O189" s="180" t="s">
        <v>474</v>
      </c>
      <c r="P189" s="180" t="s">
        <v>716</v>
      </c>
      <c r="Q189" s="185">
        <v>12.49</v>
      </c>
      <c r="R189" s="183"/>
      <c r="S189" s="185">
        <v>0</v>
      </c>
      <c r="T189" s="185">
        <v>359.06</v>
      </c>
    </row>
    <row r="190" ht="14.25">
      <c r="M190" s="184">
        <v>45565</v>
      </c>
      <c r="N190" s="182"/>
      <c r="O190" s="180" t="s">
        <v>474</v>
      </c>
      <c r="P190" s="180" t="s">
        <v>717</v>
      </c>
      <c r="Q190" s="185">
        <v>18.32</v>
      </c>
      <c r="R190" s="183"/>
      <c r="S190" s="185">
        <v>0</v>
      </c>
      <c r="T190" s="185">
        <v>377.38</v>
      </c>
    </row>
    <row r="191" ht="14.25">
      <c r="M191" s="184">
        <v>45565</v>
      </c>
      <c r="N191" s="182"/>
      <c r="O191" s="180" t="s">
        <v>474</v>
      </c>
      <c r="P191" s="180" t="s">
        <v>718</v>
      </c>
      <c r="Q191" s="185">
        <v>12.49</v>
      </c>
      <c r="R191" s="183"/>
      <c r="S191" s="185">
        <v>0</v>
      </c>
      <c r="T191" s="185">
        <v>389.87</v>
      </c>
    </row>
    <row r="192" ht="14.25">
      <c r="M192" s="184">
        <v>45596</v>
      </c>
      <c r="N192" s="182"/>
      <c r="O192" s="180" t="s">
        <v>474</v>
      </c>
      <c r="P192" s="180" t="s">
        <v>719</v>
      </c>
      <c r="Q192" s="185">
        <v>8.3300000000000001</v>
      </c>
      <c r="R192" s="183"/>
      <c r="S192" s="185">
        <v>0</v>
      </c>
      <c r="T192" s="185">
        <v>398.19999999999999</v>
      </c>
    </row>
    <row r="193" ht="14.25">
      <c r="M193" s="184">
        <v>45596</v>
      </c>
      <c r="N193" s="183"/>
      <c r="O193" s="180" t="s">
        <v>474</v>
      </c>
      <c r="P193" s="180" t="s">
        <v>720</v>
      </c>
      <c r="Q193" s="185">
        <v>12.49</v>
      </c>
      <c r="R193" s="183"/>
      <c r="S193" s="185">
        <v>0</v>
      </c>
      <c r="T193" s="185">
        <v>410.69</v>
      </c>
    </row>
    <row r="194" ht="14.25">
      <c r="M194" s="184">
        <v>45596</v>
      </c>
      <c r="N194" s="182"/>
      <c r="O194" s="180" t="s">
        <v>474</v>
      </c>
      <c r="P194" s="180" t="s">
        <v>721</v>
      </c>
      <c r="Q194" s="185">
        <v>18.32</v>
      </c>
      <c r="R194" s="183"/>
      <c r="S194" s="185">
        <v>0</v>
      </c>
      <c r="T194" s="185">
        <v>429.00999999999999</v>
      </c>
    </row>
    <row r="195" ht="14.25">
      <c r="M195" s="186" t="s">
        <v>242</v>
      </c>
      <c r="N195" s="182"/>
      <c r="O195" s="180"/>
      <c r="P195" s="180"/>
      <c r="Q195" s="185">
        <v>429.00999999999999</v>
      </c>
      <c r="R195" s="183"/>
      <c r="S195" s="185">
        <v>0</v>
      </c>
      <c r="T195" s="185">
        <v>429.00999999999999</v>
      </c>
    </row>
    <row r="196" ht="14.25">
      <c r="M196" s="186" t="s">
        <v>722</v>
      </c>
      <c r="N196" s="181" t="s">
        <v>723</v>
      </c>
      <c r="O196" s="180"/>
      <c r="P196" s="180"/>
      <c r="Q196" s="180"/>
      <c r="R196" s="183"/>
      <c r="S196" s="180"/>
      <c r="T196" s="180"/>
    </row>
    <row r="197" ht="14.25">
      <c r="M197" s="184">
        <v>45596</v>
      </c>
      <c r="N197" s="182"/>
      <c r="O197" s="180" t="s">
        <v>474</v>
      </c>
      <c r="P197" s="180" t="s">
        <v>724</v>
      </c>
      <c r="Q197" s="185">
        <v>27.5</v>
      </c>
      <c r="R197" s="183"/>
      <c r="S197" s="185">
        <v>0</v>
      </c>
      <c r="T197" s="185">
        <v>27.5</v>
      </c>
    </row>
    <row r="198" ht="14.25">
      <c r="M198" s="184">
        <v>45596</v>
      </c>
      <c r="N198" s="182"/>
      <c r="O198" s="180" t="s">
        <v>474</v>
      </c>
      <c r="P198" s="180" t="s">
        <v>725</v>
      </c>
      <c r="Q198" s="185">
        <v>28.329999999999998</v>
      </c>
      <c r="R198" s="183"/>
      <c r="S198" s="185">
        <v>0</v>
      </c>
      <c r="T198" s="185">
        <v>55.829999999999998</v>
      </c>
    </row>
    <row r="199" ht="14.25">
      <c r="M199" s="186" t="s">
        <v>242</v>
      </c>
      <c r="N199" s="183"/>
      <c r="O199" s="180"/>
      <c r="P199" s="180"/>
      <c r="Q199" s="185">
        <v>55.829999999999998</v>
      </c>
      <c r="R199" s="183"/>
      <c r="S199" s="185">
        <v>0</v>
      </c>
      <c r="T199" s="185">
        <v>55.829999999999998</v>
      </c>
    </row>
    <row r="200" ht="14.25">
      <c r="M200" s="186" t="s">
        <v>726</v>
      </c>
      <c r="N200" s="181" t="s">
        <v>727</v>
      </c>
      <c r="O200" s="180"/>
      <c r="P200" s="180"/>
      <c r="Q200" s="180"/>
      <c r="R200" s="183"/>
      <c r="S200" s="180"/>
      <c r="T200" s="180"/>
    </row>
    <row r="201" ht="14.25">
      <c r="M201" s="184">
        <v>45449</v>
      </c>
      <c r="N201" s="182"/>
      <c r="O201" s="180" t="s">
        <v>529</v>
      </c>
      <c r="P201" s="180" t="s">
        <v>728</v>
      </c>
      <c r="Q201" s="185">
        <v>0.20000000000000001</v>
      </c>
      <c r="R201" s="183"/>
      <c r="S201" s="185">
        <v>0</v>
      </c>
      <c r="T201" s="185">
        <v>0.20000000000000001</v>
      </c>
    </row>
    <row r="202" ht="14.25">
      <c r="M202" s="186" t="s">
        <v>242</v>
      </c>
      <c r="N202" s="182"/>
      <c r="O202" s="180"/>
      <c r="P202" s="180"/>
      <c r="Q202" s="185">
        <v>0.20000000000000001</v>
      </c>
      <c r="R202" s="183"/>
      <c r="S202" s="185">
        <v>0</v>
      </c>
      <c r="T202" s="185">
        <v>0.20000000000000001</v>
      </c>
    </row>
    <row r="203" ht="14.25">
      <c r="M203" s="186" t="s">
        <v>729</v>
      </c>
      <c r="N203" s="181" t="s">
        <v>442</v>
      </c>
      <c r="O203" s="180"/>
      <c r="P203" s="180"/>
      <c r="Q203" s="180"/>
      <c r="R203" s="183"/>
      <c r="S203" s="180"/>
      <c r="T203" s="180"/>
    </row>
    <row r="204" ht="14.25">
      <c r="M204" s="184">
        <v>45301</v>
      </c>
      <c r="N204" s="180"/>
      <c r="O204" s="180" t="s">
        <v>529</v>
      </c>
      <c r="P204" s="180" t="s">
        <v>730</v>
      </c>
      <c r="Q204" s="185">
        <v>0.20000000000000001</v>
      </c>
      <c r="R204" s="183"/>
      <c r="S204" s="185">
        <v>0</v>
      </c>
      <c r="T204" s="185">
        <v>0.20000000000000001</v>
      </c>
    </row>
    <row r="205" ht="14.25">
      <c r="M205" s="184">
        <v>45301</v>
      </c>
      <c r="N205" s="180"/>
      <c r="O205" s="180" t="s">
        <v>529</v>
      </c>
      <c r="P205" s="180" t="s">
        <v>730</v>
      </c>
      <c r="Q205" s="185">
        <v>0.20000000000000001</v>
      </c>
      <c r="R205" s="183"/>
      <c r="S205" s="185">
        <v>0</v>
      </c>
      <c r="T205" s="185">
        <v>0.40000000000000002</v>
      </c>
    </row>
    <row r="206" ht="14.25">
      <c r="M206" s="184">
        <v>45301</v>
      </c>
      <c r="N206" s="180"/>
      <c r="O206" s="180" t="s">
        <v>529</v>
      </c>
      <c r="P206" s="180" t="s">
        <v>730</v>
      </c>
      <c r="Q206" s="185">
        <v>0.20000000000000001</v>
      </c>
      <c r="R206" s="183"/>
      <c r="S206" s="185">
        <v>0</v>
      </c>
      <c r="T206" s="185">
        <v>0.59999999999999998</v>
      </c>
    </row>
    <row r="207" ht="14.25">
      <c r="M207" s="184">
        <v>45317</v>
      </c>
      <c r="N207" s="182"/>
      <c r="O207" s="180" t="s">
        <v>529</v>
      </c>
      <c r="P207" s="180" t="s">
        <v>731</v>
      </c>
      <c r="Q207" s="185">
        <v>47.280000000000001</v>
      </c>
      <c r="R207" s="183"/>
      <c r="S207" s="185">
        <v>0</v>
      </c>
      <c r="T207" s="185">
        <v>47.880000000000003</v>
      </c>
    </row>
    <row r="208" ht="14.25">
      <c r="M208" s="184">
        <v>45317</v>
      </c>
      <c r="N208" s="180"/>
      <c r="O208" s="180" t="s">
        <v>529</v>
      </c>
      <c r="P208" s="180" t="s">
        <v>730</v>
      </c>
      <c r="Q208" s="185">
        <v>0.20000000000000001</v>
      </c>
      <c r="R208" s="183"/>
      <c r="S208" s="185">
        <v>0</v>
      </c>
      <c r="T208" s="185">
        <v>48.079999999999998</v>
      </c>
    </row>
    <row r="209" ht="14.25">
      <c r="M209" s="184">
        <v>45317</v>
      </c>
      <c r="N209" s="180"/>
      <c r="O209" s="180" t="s">
        <v>529</v>
      </c>
      <c r="P209" s="180" t="s">
        <v>730</v>
      </c>
      <c r="Q209" s="185">
        <v>0.20000000000000001</v>
      </c>
      <c r="R209" s="183"/>
      <c r="S209" s="185">
        <v>0</v>
      </c>
      <c r="T209" s="185">
        <v>48.280000000000001</v>
      </c>
    </row>
    <row r="210" ht="14.25">
      <c r="M210" s="184">
        <v>45317</v>
      </c>
      <c r="N210" s="180"/>
      <c r="O210" s="180" t="s">
        <v>529</v>
      </c>
      <c r="P210" s="180" t="s">
        <v>730</v>
      </c>
      <c r="Q210" s="185">
        <v>0.20000000000000001</v>
      </c>
      <c r="R210" s="183"/>
      <c r="S210" s="185">
        <v>0</v>
      </c>
      <c r="T210" s="185">
        <v>48.479999999999997</v>
      </c>
    </row>
    <row r="211" ht="14.25">
      <c r="M211" s="184">
        <v>45322</v>
      </c>
      <c r="N211" s="180"/>
      <c r="O211" s="180" t="s">
        <v>529</v>
      </c>
      <c r="P211" s="180" t="s">
        <v>732</v>
      </c>
      <c r="Q211" s="185">
        <v>12</v>
      </c>
      <c r="R211" s="183"/>
      <c r="S211" s="185">
        <v>0</v>
      </c>
      <c r="T211" s="185">
        <v>60.479999999999997</v>
      </c>
    </row>
    <row r="212" ht="14.25">
      <c r="M212" s="184">
        <v>45322</v>
      </c>
      <c r="N212" s="180"/>
      <c r="O212" s="180" t="s">
        <v>529</v>
      </c>
      <c r="P212" s="180" t="s">
        <v>733</v>
      </c>
      <c r="Q212" s="185">
        <v>2.3999999999999999</v>
      </c>
      <c r="R212" s="183"/>
      <c r="S212" s="185">
        <v>0</v>
      </c>
      <c r="T212" s="185">
        <v>62.880000000000003</v>
      </c>
    </row>
    <row r="213" ht="14.25">
      <c r="M213" s="184">
        <v>45331</v>
      </c>
      <c r="N213" s="180"/>
      <c r="O213" s="180" t="s">
        <v>529</v>
      </c>
      <c r="P213" s="180" t="s">
        <v>734</v>
      </c>
      <c r="Q213" s="185">
        <v>0.20000000000000001</v>
      </c>
      <c r="R213" s="183"/>
      <c r="S213" s="185">
        <v>0</v>
      </c>
      <c r="T213" s="185">
        <v>63.079999999999998</v>
      </c>
    </row>
    <row r="214" ht="14.25">
      <c r="M214" s="184">
        <v>45331</v>
      </c>
      <c r="N214" s="180"/>
      <c r="O214" s="180" t="s">
        <v>529</v>
      </c>
      <c r="P214" s="180" t="s">
        <v>734</v>
      </c>
      <c r="Q214" s="185">
        <v>0.20000000000000001</v>
      </c>
      <c r="R214" s="183"/>
      <c r="S214" s="185">
        <v>0</v>
      </c>
      <c r="T214" s="185">
        <v>63.280000000000001</v>
      </c>
    </row>
    <row r="215" ht="14.25">
      <c r="M215" s="184">
        <v>45331</v>
      </c>
      <c r="N215" s="182"/>
      <c r="O215" s="180" t="s">
        <v>529</v>
      </c>
      <c r="P215" s="180" t="s">
        <v>734</v>
      </c>
      <c r="Q215" s="185">
        <v>0.20000000000000001</v>
      </c>
      <c r="R215" s="183"/>
      <c r="S215" s="185">
        <v>0</v>
      </c>
      <c r="T215" s="185">
        <v>63.479999999999997</v>
      </c>
    </row>
    <row r="216" ht="14.25">
      <c r="M216" s="184">
        <v>45331</v>
      </c>
      <c r="N216" s="180"/>
      <c r="O216" s="180" t="s">
        <v>529</v>
      </c>
      <c r="P216" s="180" t="s">
        <v>734</v>
      </c>
      <c r="Q216" s="185">
        <v>0.20000000000000001</v>
      </c>
      <c r="R216" s="183"/>
      <c r="S216" s="185">
        <v>0</v>
      </c>
      <c r="T216" s="185">
        <v>63.68</v>
      </c>
    </row>
    <row r="217" ht="14.25">
      <c r="M217" s="184">
        <v>45335</v>
      </c>
      <c r="N217" s="180"/>
      <c r="O217" s="180" t="s">
        <v>529</v>
      </c>
      <c r="P217" s="180" t="s">
        <v>735</v>
      </c>
      <c r="Q217" s="185">
        <v>0.20000000000000001</v>
      </c>
      <c r="R217" s="183"/>
      <c r="S217" s="185">
        <v>0</v>
      </c>
      <c r="T217" s="185">
        <v>63.880000000000003</v>
      </c>
    </row>
    <row r="218" ht="14.25">
      <c r="M218" s="184">
        <v>45335</v>
      </c>
      <c r="N218" s="180"/>
      <c r="O218" s="180" t="s">
        <v>529</v>
      </c>
      <c r="P218" s="180" t="s">
        <v>735</v>
      </c>
      <c r="Q218" s="185">
        <v>0.20000000000000001</v>
      </c>
      <c r="R218" s="183"/>
      <c r="S218" s="185">
        <v>0</v>
      </c>
      <c r="T218" s="185">
        <v>64.079999999999998</v>
      </c>
    </row>
    <row r="219" ht="14.25">
      <c r="M219" s="184">
        <v>45349</v>
      </c>
      <c r="N219" s="180"/>
      <c r="O219" s="180" t="s">
        <v>529</v>
      </c>
      <c r="P219" s="180" t="s">
        <v>734</v>
      </c>
      <c r="Q219" s="185">
        <v>0.20000000000000001</v>
      </c>
      <c r="R219" s="183"/>
      <c r="S219" s="185">
        <v>0</v>
      </c>
      <c r="T219" s="185">
        <v>64.280000000000001</v>
      </c>
    </row>
    <row r="220" ht="14.25">
      <c r="M220" s="184">
        <v>45349</v>
      </c>
      <c r="N220" s="180"/>
      <c r="O220" s="180" t="s">
        <v>529</v>
      </c>
      <c r="P220" s="180" t="s">
        <v>734</v>
      </c>
      <c r="Q220" s="185">
        <v>0.20000000000000001</v>
      </c>
      <c r="R220" s="183"/>
      <c r="S220" s="185">
        <v>0</v>
      </c>
      <c r="T220" s="185">
        <v>64.480000000000004</v>
      </c>
    </row>
    <row r="221" ht="14.25">
      <c r="M221" s="184">
        <v>45349</v>
      </c>
      <c r="N221" s="180"/>
      <c r="O221" s="180" t="s">
        <v>529</v>
      </c>
      <c r="P221" s="180" t="s">
        <v>734</v>
      </c>
      <c r="Q221" s="185">
        <v>0.20000000000000001</v>
      </c>
      <c r="R221" s="183"/>
      <c r="S221" s="185">
        <v>0</v>
      </c>
      <c r="T221" s="185">
        <v>64.680000000000007</v>
      </c>
    </row>
    <row r="222" ht="14.25">
      <c r="M222" s="184">
        <v>45351</v>
      </c>
      <c r="N222" s="180"/>
      <c r="O222" s="180" t="s">
        <v>529</v>
      </c>
      <c r="P222" s="180" t="s">
        <v>736</v>
      </c>
      <c r="Q222" s="185">
        <v>12</v>
      </c>
      <c r="R222" s="183"/>
      <c r="S222" s="185">
        <v>0</v>
      </c>
      <c r="T222" s="185">
        <v>76.680000000000007</v>
      </c>
    </row>
    <row r="223" ht="14.25">
      <c r="M223" s="184">
        <v>45357</v>
      </c>
      <c r="N223" s="183"/>
      <c r="O223" s="180" t="s">
        <v>529</v>
      </c>
      <c r="P223" s="180" t="s">
        <v>735</v>
      </c>
      <c r="Q223" s="185">
        <v>0.20000000000000001</v>
      </c>
      <c r="R223" s="183"/>
      <c r="S223" s="185">
        <v>0</v>
      </c>
      <c r="T223" s="185">
        <v>76.879999999999995</v>
      </c>
    </row>
    <row r="224" ht="14.25">
      <c r="M224" s="184">
        <v>45362</v>
      </c>
      <c r="N224" s="180"/>
      <c r="O224" s="180" t="s">
        <v>529</v>
      </c>
      <c r="P224" s="180" t="s">
        <v>735</v>
      </c>
      <c r="Q224" s="185">
        <v>0.20000000000000001</v>
      </c>
      <c r="R224" s="183"/>
      <c r="S224" s="185">
        <v>0</v>
      </c>
      <c r="T224" s="185">
        <v>77.079999999999998</v>
      </c>
    </row>
    <row r="225" ht="14.25">
      <c r="M225" s="184">
        <v>45363</v>
      </c>
      <c r="N225" s="180"/>
      <c r="O225" s="180" t="s">
        <v>529</v>
      </c>
      <c r="P225" s="180" t="s">
        <v>735</v>
      </c>
      <c r="Q225" s="185">
        <v>0.20000000000000001</v>
      </c>
      <c r="R225" s="183"/>
      <c r="S225" s="185">
        <v>0</v>
      </c>
      <c r="T225" s="185">
        <v>77.280000000000001</v>
      </c>
    </row>
    <row r="226" ht="14.25">
      <c r="M226" s="184">
        <v>45363</v>
      </c>
      <c r="N226" s="180"/>
      <c r="O226" s="180" t="s">
        <v>529</v>
      </c>
      <c r="P226" s="180" t="s">
        <v>735</v>
      </c>
      <c r="Q226" s="185">
        <v>0.20000000000000001</v>
      </c>
      <c r="R226" s="183"/>
      <c r="S226" s="185">
        <v>0</v>
      </c>
      <c r="T226" s="185">
        <v>77.480000000000004</v>
      </c>
    </row>
    <row r="227" ht="14.25">
      <c r="M227" s="184">
        <v>45363</v>
      </c>
      <c r="N227" s="180"/>
      <c r="O227" s="180" t="s">
        <v>529</v>
      </c>
      <c r="P227" s="180" t="s">
        <v>735</v>
      </c>
      <c r="Q227" s="185">
        <v>0.20000000000000001</v>
      </c>
      <c r="R227" s="183"/>
      <c r="S227" s="185">
        <v>0</v>
      </c>
      <c r="T227" s="185">
        <v>77.680000000000007</v>
      </c>
    </row>
    <row r="228" ht="14.25">
      <c r="M228" s="184">
        <v>45371</v>
      </c>
      <c r="N228" s="180"/>
      <c r="O228" s="180" t="s">
        <v>529</v>
      </c>
      <c r="P228" s="180" t="s">
        <v>734</v>
      </c>
      <c r="Q228" s="185">
        <v>0.20000000000000001</v>
      </c>
      <c r="R228" s="183"/>
      <c r="S228" s="185">
        <v>0</v>
      </c>
      <c r="T228" s="185">
        <v>77.879999999999995</v>
      </c>
    </row>
    <row r="229" ht="14.25">
      <c r="M229" s="184">
        <v>45372</v>
      </c>
      <c r="N229" s="180"/>
      <c r="O229" s="180" t="s">
        <v>529</v>
      </c>
      <c r="P229" s="180" t="s">
        <v>735</v>
      </c>
      <c r="Q229" s="185">
        <v>0.20000000000000001</v>
      </c>
      <c r="R229" s="183"/>
      <c r="S229" s="185">
        <v>0</v>
      </c>
      <c r="T229" s="185">
        <v>78.079999999999998</v>
      </c>
    </row>
    <row r="230" ht="14.25">
      <c r="M230" s="184">
        <v>45376</v>
      </c>
      <c r="N230" s="180"/>
      <c r="O230" s="180" t="s">
        <v>529</v>
      </c>
      <c r="P230" s="180" t="s">
        <v>735</v>
      </c>
      <c r="Q230" s="185">
        <v>0.20000000000000001</v>
      </c>
      <c r="R230" s="183"/>
      <c r="S230" s="185">
        <v>0</v>
      </c>
      <c r="T230" s="185">
        <v>78.280000000000001</v>
      </c>
    </row>
    <row r="231" ht="14.25">
      <c r="M231" s="184">
        <v>45376</v>
      </c>
      <c r="N231" s="182"/>
      <c r="O231" s="180" t="s">
        <v>529</v>
      </c>
      <c r="P231" s="180" t="s">
        <v>735</v>
      </c>
      <c r="Q231" s="185">
        <v>0.20000000000000001</v>
      </c>
      <c r="R231" s="183"/>
      <c r="S231" s="185">
        <v>0</v>
      </c>
      <c r="T231" s="185">
        <v>78.480000000000004</v>
      </c>
    </row>
    <row r="232" ht="14.25">
      <c r="M232" s="184">
        <v>45378</v>
      </c>
      <c r="N232" s="180"/>
      <c r="O232" s="180" t="s">
        <v>529</v>
      </c>
      <c r="P232" s="180" t="s">
        <v>735</v>
      </c>
      <c r="Q232" s="185">
        <v>0.20000000000000001</v>
      </c>
      <c r="R232" s="183"/>
      <c r="S232" s="185">
        <v>0</v>
      </c>
      <c r="T232" s="185">
        <v>78.680000000000007</v>
      </c>
    </row>
    <row r="233" ht="14.25">
      <c r="M233" s="184">
        <v>45378</v>
      </c>
      <c r="N233" s="180"/>
      <c r="O233" s="180" t="s">
        <v>529</v>
      </c>
      <c r="P233" s="180" t="s">
        <v>735</v>
      </c>
      <c r="Q233" s="185">
        <v>0.20000000000000001</v>
      </c>
      <c r="R233" s="183"/>
      <c r="S233" s="185">
        <v>0</v>
      </c>
      <c r="T233" s="185">
        <v>78.879999999999995</v>
      </c>
    </row>
    <row r="234" ht="14.25">
      <c r="M234" s="184">
        <v>45378</v>
      </c>
      <c r="N234" s="182"/>
      <c r="O234" s="180" t="s">
        <v>529</v>
      </c>
      <c r="P234" s="180" t="s">
        <v>735</v>
      </c>
      <c r="Q234" s="185">
        <v>0.20000000000000001</v>
      </c>
      <c r="R234" s="183"/>
      <c r="S234" s="185">
        <v>0</v>
      </c>
      <c r="T234" s="185">
        <v>79.079999999999998</v>
      </c>
    </row>
    <row r="235" ht="14.25">
      <c r="M235" s="184">
        <v>45378</v>
      </c>
      <c r="N235" s="180"/>
      <c r="O235" s="180" t="s">
        <v>529</v>
      </c>
      <c r="P235" s="180" t="s">
        <v>735</v>
      </c>
      <c r="Q235" s="185">
        <v>0.20000000000000001</v>
      </c>
      <c r="R235" s="183"/>
      <c r="S235" s="185">
        <v>0</v>
      </c>
      <c r="T235" s="185">
        <v>79.280000000000001</v>
      </c>
    </row>
    <row r="236" ht="14.25">
      <c r="M236" s="184">
        <v>45379</v>
      </c>
      <c r="N236" s="180"/>
      <c r="O236" s="180" t="s">
        <v>529</v>
      </c>
      <c r="P236" s="180" t="s">
        <v>737</v>
      </c>
      <c r="Q236" s="185">
        <v>12</v>
      </c>
      <c r="R236" s="183"/>
      <c r="S236" s="185">
        <v>0</v>
      </c>
      <c r="T236" s="185">
        <v>91.280000000000001</v>
      </c>
    </row>
    <row r="237" ht="14.25">
      <c r="M237" s="184">
        <v>45379</v>
      </c>
      <c r="N237" s="180"/>
      <c r="O237" s="180" t="s">
        <v>529</v>
      </c>
      <c r="P237" s="180" t="s">
        <v>738</v>
      </c>
      <c r="Q237" s="185">
        <v>58.600000000000001</v>
      </c>
      <c r="R237" s="183"/>
      <c r="S237" s="185">
        <v>0</v>
      </c>
      <c r="T237" s="185">
        <v>149.88</v>
      </c>
    </row>
    <row r="238" ht="14.25">
      <c r="M238" s="184">
        <v>45390</v>
      </c>
      <c r="N238" s="180"/>
      <c r="O238" s="180" t="s">
        <v>529</v>
      </c>
      <c r="P238" s="180" t="s">
        <v>734</v>
      </c>
      <c r="Q238" s="185">
        <v>0.20000000000000001</v>
      </c>
      <c r="R238" s="183"/>
      <c r="S238" s="185">
        <v>0</v>
      </c>
      <c r="T238" s="185">
        <v>150.08000000000001</v>
      </c>
    </row>
    <row r="239" ht="14.25">
      <c r="M239" s="184">
        <v>45390</v>
      </c>
      <c r="N239" s="180"/>
      <c r="O239" s="180" t="s">
        <v>529</v>
      </c>
      <c r="P239" s="180" t="s">
        <v>734</v>
      </c>
      <c r="Q239" s="185">
        <v>0.20000000000000001</v>
      </c>
      <c r="R239" s="183"/>
      <c r="S239" s="185">
        <v>0</v>
      </c>
      <c r="T239" s="185">
        <v>150.28</v>
      </c>
    </row>
    <row r="240" ht="14.25">
      <c r="M240" s="184">
        <v>45390</v>
      </c>
      <c r="N240" s="180"/>
      <c r="O240" s="180" t="s">
        <v>529</v>
      </c>
      <c r="P240" s="180" t="s">
        <v>734</v>
      </c>
      <c r="Q240" s="185">
        <v>0.20000000000000001</v>
      </c>
      <c r="R240" s="183"/>
      <c r="S240" s="185">
        <v>0</v>
      </c>
      <c r="T240" s="185">
        <v>150.47999999999999</v>
      </c>
    </row>
    <row r="241" ht="14.25">
      <c r="M241" s="184">
        <v>45408</v>
      </c>
      <c r="N241" s="180"/>
      <c r="O241" s="180" t="s">
        <v>529</v>
      </c>
      <c r="P241" s="180" t="s">
        <v>735</v>
      </c>
      <c r="Q241" s="185">
        <v>0.20000000000000001</v>
      </c>
      <c r="R241" s="183"/>
      <c r="S241" s="185">
        <v>0</v>
      </c>
      <c r="T241" s="185">
        <v>150.68000000000001</v>
      </c>
    </row>
    <row r="242" ht="14.25">
      <c r="M242" s="184">
        <v>45408</v>
      </c>
      <c r="N242" s="183"/>
      <c r="O242" s="180" t="s">
        <v>529</v>
      </c>
      <c r="P242" s="180" t="s">
        <v>735</v>
      </c>
      <c r="Q242" s="185">
        <v>0.20000000000000001</v>
      </c>
      <c r="R242" s="183"/>
      <c r="S242" s="185">
        <v>0</v>
      </c>
      <c r="T242" s="185">
        <v>150.88</v>
      </c>
    </row>
    <row r="243" ht="14.25">
      <c r="M243" s="184">
        <v>45408</v>
      </c>
      <c r="N243" s="180"/>
      <c r="O243" s="180" t="s">
        <v>529</v>
      </c>
      <c r="P243" s="180" t="s">
        <v>735</v>
      </c>
      <c r="Q243" s="185">
        <v>0.20000000000000001</v>
      </c>
      <c r="R243" s="183"/>
      <c r="S243" s="185">
        <v>0</v>
      </c>
      <c r="T243" s="185">
        <v>151.08000000000001</v>
      </c>
    </row>
    <row r="244" ht="14.25">
      <c r="M244" s="184">
        <v>45412</v>
      </c>
      <c r="N244" s="180"/>
      <c r="O244" s="180" t="s">
        <v>529</v>
      </c>
      <c r="P244" s="180" t="s">
        <v>736</v>
      </c>
      <c r="Q244" s="185">
        <v>12</v>
      </c>
      <c r="R244" s="183"/>
      <c r="S244" s="185">
        <v>0</v>
      </c>
      <c r="T244" s="185">
        <v>163.08000000000001</v>
      </c>
    </row>
    <row r="245" ht="14.25">
      <c r="M245" s="184">
        <v>45419</v>
      </c>
      <c r="N245" s="180"/>
      <c r="O245" s="180" t="s">
        <v>529</v>
      </c>
      <c r="P245" s="180" t="s">
        <v>739</v>
      </c>
      <c r="Q245" s="185">
        <v>0.040000000000000001</v>
      </c>
      <c r="R245" s="183"/>
      <c r="S245" s="185">
        <v>0</v>
      </c>
      <c r="T245" s="185">
        <v>163.12</v>
      </c>
    </row>
    <row r="246" ht="14.25">
      <c r="M246" s="184">
        <v>45419</v>
      </c>
      <c r="N246" s="180"/>
      <c r="O246" s="180" t="s">
        <v>529</v>
      </c>
      <c r="P246" s="180" t="s">
        <v>739</v>
      </c>
      <c r="Q246" s="185">
        <v>0.040000000000000001</v>
      </c>
      <c r="R246" s="183"/>
      <c r="S246" s="185">
        <v>0</v>
      </c>
      <c r="T246" s="185">
        <v>163.16</v>
      </c>
    </row>
    <row r="247" ht="14.25">
      <c r="M247" s="184">
        <v>45419</v>
      </c>
      <c r="N247" s="180"/>
      <c r="O247" s="180" t="s">
        <v>529</v>
      </c>
      <c r="P247" s="180" t="s">
        <v>739</v>
      </c>
      <c r="Q247" s="185">
        <v>0.040000000000000001</v>
      </c>
      <c r="R247" s="183"/>
      <c r="S247" s="185">
        <v>0</v>
      </c>
      <c r="T247" s="185">
        <v>163.19999999999999</v>
      </c>
    </row>
    <row r="248" ht="14.25">
      <c r="M248" s="184">
        <v>45419</v>
      </c>
      <c r="N248" s="180"/>
      <c r="O248" s="180" t="s">
        <v>529</v>
      </c>
      <c r="P248" s="180" t="s">
        <v>739</v>
      </c>
      <c r="Q248" s="185">
        <v>0.20000000000000001</v>
      </c>
      <c r="R248" s="183"/>
      <c r="S248" s="185">
        <v>0</v>
      </c>
      <c r="T248" s="185">
        <v>163.40000000000001</v>
      </c>
    </row>
    <row r="249" ht="14.25">
      <c r="M249" s="184">
        <v>45419</v>
      </c>
      <c r="N249" s="180"/>
      <c r="O249" s="180" t="s">
        <v>529</v>
      </c>
      <c r="P249" s="180" t="s">
        <v>739</v>
      </c>
      <c r="Q249" s="185">
        <v>0.20000000000000001</v>
      </c>
      <c r="R249" s="183"/>
      <c r="S249" s="185">
        <v>0</v>
      </c>
      <c r="T249" s="185">
        <v>163.59999999999999</v>
      </c>
    </row>
    <row r="250" ht="14.25">
      <c r="M250" s="184">
        <v>45419</v>
      </c>
      <c r="N250" s="180"/>
      <c r="O250" s="180" t="s">
        <v>529</v>
      </c>
      <c r="P250" s="180" t="s">
        <v>739</v>
      </c>
      <c r="Q250" s="185">
        <v>0.20000000000000001</v>
      </c>
      <c r="R250" s="183"/>
      <c r="S250" s="185">
        <v>0</v>
      </c>
      <c r="T250" s="185">
        <v>163.80000000000001</v>
      </c>
    </row>
    <row r="251" ht="14.25">
      <c r="M251" s="184">
        <v>45439</v>
      </c>
      <c r="N251" s="180"/>
      <c r="O251" s="180" t="s">
        <v>529</v>
      </c>
      <c r="P251" s="180" t="s">
        <v>740</v>
      </c>
      <c r="Q251" s="185">
        <v>0.040000000000000001</v>
      </c>
      <c r="R251" s="183"/>
      <c r="S251" s="185">
        <v>0</v>
      </c>
      <c r="T251" s="185">
        <v>163.84</v>
      </c>
    </row>
    <row r="252" ht="14.25">
      <c r="M252" s="184">
        <v>45439</v>
      </c>
      <c r="N252" s="180"/>
      <c r="O252" s="180" t="s">
        <v>529</v>
      </c>
      <c r="P252" s="180" t="s">
        <v>740</v>
      </c>
      <c r="Q252" s="185">
        <v>0.040000000000000001</v>
      </c>
      <c r="R252" s="183"/>
      <c r="S252" s="185">
        <v>0</v>
      </c>
      <c r="T252" s="185">
        <v>163.88</v>
      </c>
    </row>
    <row r="253" ht="14.25">
      <c r="M253" s="184">
        <v>45439</v>
      </c>
      <c r="N253" s="180"/>
      <c r="O253" s="180" t="s">
        <v>529</v>
      </c>
      <c r="P253" s="180" t="s">
        <v>740</v>
      </c>
      <c r="Q253" s="185">
        <v>0.040000000000000001</v>
      </c>
      <c r="R253" s="183"/>
      <c r="S253" s="185">
        <v>0</v>
      </c>
      <c r="T253" s="185">
        <v>163.91999999999999</v>
      </c>
    </row>
    <row r="254" ht="14.25">
      <c r="M254" s="184">
        <v>45439</v>
      </c>
      <c r="N254" s="180"/>
      <c r="O254" s="180" t="s">
        <v>529</v>
      </c>
      <c r="P254" s="180" t="s">
        <v>740</v>
      </c>
      <c r="Q254" s="185">
        <v>0.20000000000000001</v>
      </c>
      <c r="R254" s="183"/>
      <c r="S254" s="185">
        <v>0</v>
      </c>
      <c r="T254" s="185">
        <v>164.12</v>
      </c>
    </row>
    <row r="255" ht="14.25">
      <c r="M255" s="184">
        <v>45439</v>
      </c>
      <c r="N255" s="180"/>
      <c r="O255" s="180" t="s">
        <v>529</v>
      </c>
      <c r="P255" s="180" t="s">
        <v>740</v>
      </c>
      <c r="Q255" s="185">
        <v>0.20000000000000001</v>
      </c>
      <c r="R255" s="183"/>
      <c r="S255" s="185">
        <v>0</v>
      </c>
      <c r="T255" s="185">
        <v>164.31999999999999</v>
      </c>
    </row>
    <row r="256" ht="14.25">
      <c r="M256" s="184">
        <v>45439</v>
      </c>
      <c r="N256" s="180"/>
      <c r="O256" s="180" t="s">
        <v>529</v>
      </c>
      <c r="P256" s="180" t="s">
        <v>740</v>
      </c>
      <c r="Q256" s="185">
        <v>0.20000000000000001</v>
      </c>
      <c r="R256" s="183"/>
      <c r="S256" s="185">
        <v>0</v>
      </c>
      <c r="T256" s="185">
        <v>164.52000000000001</v>
      </c>
    </row>
    <row r="257" ht="14.25">
      <c r="M257" s="184">
        <v>45443</v>
      </c>
      <c r="N257" s="180"/>
      <c r="O257" s="180" t="s">
        <v>529</v>
      </c>
      <c r="P257" s="180" t="s">
        <v>741</v>
      </c>
      <c r="Q257" s="185">
        <v>2.3999999999999999</v>
      </c>
      <c r="R257" s="183"/>
      <c r="S257" s="185">
        <v>0</v>
      </c>
      <c r="T257" s="185">
        <v>166.91999999999999</v>
      </c>
    </row>
    <row r="258" ht="14.25">
      <c r="M258" s="184">
        <v>45443</v>
      </c>
      <c r="N258" s="180"/>
      <c r="O258" s="180" t="s">
        <v>529</v>
      </c>
      <c r="P258" s="180" t="s">
        <v>732</v>
      </c>
      <c r="Q258" s="185">
        <v>12</v>
      </c>
      <c r="R258" s="183"/>
      <c r="S258" s="185">
        <v>0</v>
      </c>
      <c r="T258" s="185">
        <v>178.91999999999999</v>
      </c>
    </row>
    <row r="259" ht="14.25">
      <c r="M259" s="184">
        <v>45449</v>
      </c>
      <c r="N259" s="180"/>
      <c r="O259" s="180" t="s">
        <v>529</v>
      </c>
      <c r="P259" s="180" t="s">
        <v>735</v>
      </c>
      <c r="Q259" s="185">
        <v>0.20000000000000001</v>
      </c>
      <c r="R259" s="183"/>
      <c r="S259" s="185">
        <v>0</v>
      </c>
      <c r="T259" s="185">
        <v>179.12</v>
      </c>
    </row>
    <row r="260" ht="14.25">
      <c r="M260" s="184">
        <v>45449</v>
      </c>
      <c r="N260" s="180"/>
      <c r="O260" s="180" t="s">
        <v>529</v>
      </c>
      <c r="P260" s="180" t="s">
        <v>742</v>
      </c>
      <c r="Q260" s="185">
        <v>0.20000000000000001</v>
      </c>
      <c r="R260" s="183"/>
      <c r="S260" s="185">
        <v>0</v>
      </c>
      <c r="T260" s="185">
        <v>179.31999999999999</v>
      </c>
    </row>
    <row r="261" ht="14.25">
      <c r="M261" s="184">
        <v>45457</v>
      </c>
      <c r="N261" s="180"/>
      <c r="O261" s="180" t="s">
        <v>529</v>
      </c>
      <c r="P261" s="180" t="s">
        <v>742</v>
      </c>
      <c r="Q261" s="185">
        <v>0.20000000000000001</v>
      </c>
      <c r="R261" s="183"/>
      <c r="S261" s="185">
        <v>0</v>
      </c>
      <c r="T261" s="185">
        <v>179.52000000000001</v>
      </c>
    </row>
    <row r="262" ht="14.25">
      <c r="M262" s="184">
        <v>45470</v>
      </c>
      <c r="N262" s="180"/>
      <c r="O262" s="180" t="s">
        <v>529</v>
      </c>
      <c r="P262" s="180" t="s">
        <v>735</v>
      </c>
      <c r="Q262" s="185">
        <v>0.20000000000000001</v>
      </c>
      <c r="R262" s="183"/>
      <c r="S262" s="185">
        <v>0</v>
      </c>
      <c r="T262" s="185">
        <v>179.72</v>
      </c>
    </row>
    <row r="263" ht="14.25">
      <c r="M263" s="184">
        <v>45470</v>
      </c>
      <c r="N263" s="180"/>
      <c r="O263" s="180" t="s">
        <v>529</v>
      </c>
      <c r="P263" s="180" t="s">
        <v>742</v>
      </c>
      <c r="Q263" s="185">
        <v>0.20000000000000001</v>
      </c>
      <c r="R263" s="183"/>
      <c r="S263" s="185">
        <v>0</v>
      </c>
      <c r="T263" s="185">
        <v>179.91999999999999</v>
      </c>
    </row>
    <row r="264" ht="14.25">
      <c r="M264" s="184">
        <v>45471</v>
      </c>
      <c r="N264" s="180"/>
      <c r="O264" s="180" t="s">
        <v>529</v>
      </c>
      <c r="P264" s="180" t="s">
        <v>743</v>
      </c>
      <c r="Q264" s="185">
        <v>101.72</v>
      </c>
      <c r="R264" s="183"/>
      <c r="S264" s="185">
        <v>0</v>
      </c>
      <c r="T264" s="185">
        <v>281.63999999999999</v>
      </c>
    </row>
    <row r="265" ht="14.25">
      <c r="M265" s="184">
        <v>45471</v>
      </c>
      <c r="N265" s="180"/>
      <c r="O265" s="180" t="s">
        <v>529</v>
      </c>
      <c r="P265" s="180" t="s">
        <v>737</v>
      </c>
      <c r="Q265" s="185">
        <v>12</v>
      </c>
      <c r="R265" s="183"/>
      <c r="S265" s="185">
        <v>0</v>
      </c>
      <c r="T265" s="185">
        <v>293.63999999999999</v>
      </c>
    </row>
    <row r="266" ht="14.25">
      <c r="M266" s="184">
        <v>45477</v>
      </c>
      <c r="N266" s="180"/>
      <c r="O266" s="180" t="s">
        <v>529</v>
      </c>
      <c r="P266" s="180" t="s">
        <v>734</v>
      </c>
      <c r="Q266" s="185">
        <v>0.20000000000000001</v>
      </c>
      <c r="R266" s="183"/>
      <c r="S266" s="185">
        <v>0</v>
      </c>
      <c r="T266" s="185">
        <v>293.83999999999997</v>
      </c>
    </row>
    <row r="267" ht="14.25">
      <c r="M267" s="184">
        <v>45477</v>
      </c>
      <c r="N267" s="180"/>
      <c r="O267" s="180" t="s">
        <v>529</v>
      </c>
      <c r="P267" s="180" t="s">
        <v>734</v>
      </c>
      <c r="Q267" s="185">
        <v>0.20000000000000001</v>
      </c>
      <c r="R267" s="183"/>
      <c r="S267" s="185">
        <v>0</v>
      </c>
      <c r="T267" s="185">
        <v>294.04000000000002</v>
      </c>
    </row>
    <row r="268" ht="14.25">
      <c r="M268" s="184">
        <v>45478</v>
      </c>
      <c r="N268" s="180"/>
      <c r="O268" s="180" t="s">
        <v>529</v>
      </c>
      <c r="P268" s="180" t="s">
        <v>734</v>
      </c>
      <c r="Q268" s="185">
        <v>0.20000000000000001</v>
      </c>
      <c r="R268" s="183"/>
      <c r="S268" s="185">
        <v>0</v>
      </c>
      <c r="T268" s="185">
        <v>294.24000000000001</v>
      </c>
    </row>
    <row r="269" ht="14.25">
      <c r="M269" s="184">
        <v>45478</v>
      </c>
      <c r="N269" s="180"/>
      <c r="O269" s="180" t="s">
        <v>529</v>
      </c>
      <c r="P269" s="180" t="s">
        <v>734</v>
      </c>
      <c r="Q269" s="185">
        <v>0.20000000000000001</v>
      </c>
      <c r="R269" s="183"/>
      <c r="S269" s="185">
        <v>0</v>
      </c>
      <c r="T269" s="185">
        <v>294.44</v>
      </c>
    </row>
    <row r="270" ht="14.25">
      <c r="M270" s="184">
        <v>45485</v>
      </c>
      <c r="N270" s="180"/>
      <c r="O270" s="180" t="s">
        <v>529</v>
      </c>
      <c r="P270" s="180" t="s">
        <v>744</v>
      </c>
      <c r="Q270" s="185">
        <v>0.20000000000000001</v>
      </c>
      <c r="R270" s="183"/>
      <c r="S270" s="185">
        <v>0</v>
      </c>
      <c r="T270" s="185">
        <v>294.63999999999999</v>
      </c>
    </row>
    <row r="271" ht="14.25">
      <c r="M271" s="184">
        <v>45488</v>
      </c>
      <c r="N271" s="180"/>
      <c r="O271" s="180" t="s">
        <v>529</v>
      </c>
      <c r="P271" s="180" t="s">
        <v>744</v>
      </c>
      <c r="Q271" s="185">
        <v>0.20000000000000001</v>
      </c>
      <c r="R271" s="183"/>
      <c r="S271" s="185">
        <v>0</v>
      </c>
      <c r="T271" s="185">
        <v>294.83999999999997</v>
      </c>
    </row>
    <row r="272" ht="14.25">
      <c r="M272" s="184">
        <v>45488</v>
      </c>
      <c r="N272" s="182"/>
      <c r="O272" s="180" t="s">
        <v>529</v>
      </c>
      <c r="P272" s="180" t="s">
        <v>744</v>
      </c>
      <c r="Q272" s="185">
        <v>0.20000000000000001</v>
      </c>
      <c r="R272" s="183"/>
      <c r="S272" s="185">
        <v>0</v>
      </c>
      <c r="T272" s="185">
        <v>295.04000000000002</v>
      </c>
    </row>
    <row r="273" ht="14.25">
      <c r="M273" s="184">
        <v>45490</v>
      </c>
      <c r="N273" s="180"/>
      <c r="O273" s="180" t="s">
        <v>529</v>
      </c>
      <c r="P273" s="180" t="s">
        <v>744</v>
      </c>
      <c r="Q273" s="185">
        <v>0.20000000000000001</v>
      </c>
      <c r="R273" s="183"/>
      <c r="S273" s="185">
        <v>0</v>
      </c>
      <c r="T273" s="185">
        <v>295.24000000000001</v>
      </c>
    </row>
    <row r="274" ht="14.25">
      <c r="M274" s="184">
        <v>45499</v>
      </c>
      <c r="N274" s="180"/>
      <c r="O274" s="180" t="s">
        <v>529</v>
      </c>
      <c r="P274" s="180" t="s">
        <v>745</v>
      </c>
      <c r="Q274" s="185">
        <v>0.20000000000000001</v>
      </c>
      <c r="R274" s="183"/>
      <c r="S274" s="185">
        <v>0</v>
      </c>
      <c r="T274" s="185">
        <v>295.44</v>
      </c>
    </row>
    <row r="275" ht="14.25">
      <c r="M275" s="184">
        <v>45499</v>
      </c>
      <c r="N275" s="180"/>
      <c r="O275" s="180" t="s">
        <v>529</v>
      </c>
      <c r="P275" s="180" t="s">
        <v>745</v>
      </c>
      <c r="Q275" s="185">
        <v>0.20000000000000001</v>
      </c>
      <c r="R275" s="183"/>
      <c r="S275" s="185">
        <v>0</v>
      </c>
      <c r="T275" s="185">
        <v>295.63999999999999</v>
      </c>
    </row>
    <row r="276" ht="14.25">
      <c r="M276" s="184">
        <v>45504</v>
      </c>
      <c r="N276" s="180"/>
      <c r="O276" s="180" t="s">
        <v>529</v>
      </c>
      <c r="P276" s="180" t="s">
        <v>745</v>
      </c>
      <c r="Q276" s="185">
        <v>0.20000000000000001</v>
      </c>
      <c r="R276" s="183"/>
      <c r="S276" s="185">
        <v>0</v>
      </c>
      <c r="T276" s="185">
        <v>295.83999999999997</v>
      </c>
    </row>
    <row r="277" ht="14.25">
      <c r="M277" s="184">
        <v>45504</v>
      </c>
      <c r="N277" s="180"/>
      <c r="O277" s="180" t="s">
        <v>529</v>
      </c>
      <c r="P277" s="180" t="s">
        <v>745</v>
      </c>
      <c r="Q277" s="185">
        <v>0.20000000000000001</v>
      </c>
      <c r="R277" s="183"/>
      <c r="S277" s="185">
        <v>0</v>
      </c>
      <c r="T277" s="185">
        <v>296.04000000000002</v>
      </c>
    </row>
    <row r="278" ht="14.25">
      <c r="M278" s="184">
        <v>45504</v>
      </c>
      <c r="N278" s="180"/>
      <c r="O278" s="180" t="s">
        <v>529</v>
      </c>
      <c r="P278" s="180" t="s">
        <v>737</v>
      </c>
      <c r="Q278" s="185">
        <v>12</v>
      </c>
      <c r="R278" s="183"/>
      <c r="S278" s="185">
        <v>0</v>
      </c>
      <c r="T278" s="185">
        <v>308.04000000000002</v>
      </c>
    </row>
    <row r="279" ht="14.25">
      <c r="M279" s="184">
        <v>45505</v>
      </c>
      <c r="N279" s="180"/>
      <c r="O279" s="180" t="s">
        <v>529</v>
      </c>
      <c r="P279" s="180" t="s">
        <v>745</v>
      </c>
      <c r="Q279" s="185">
        <v>0.20000000000000001</v>
      </c>
      <c r="R279" s="183"/>
      <c r="S279" s="185">
        <v>0</v>
      </c>
      <c r="T279" s="185">
        <v>308.24000000000001</v>
      </c>
    </row>
    <row r="280" ht="14.25">
      <c r="M280" s="184">
        <v>45505</v>
      </c>
      <c r="N280" s="180"/>
      <c r="O280" s="180" t="s">
        <v>529</v>
      </c>
      <c r="P280" s="180" t="s">
        <v>745</v>
      </c>
      <c r="Q280" s="185">
        <v>0.20000000000000001</v>
      </c>
      <c r="R280" s="183"/>
      <c r="S280" s="185">
        <v>0</v>
      </c>
      <c r="T280" s="185">
        <v>308.44</v>
      </c>
    </row>
    <row r="281" ht="14.25">
      <c r="M281" s="184">
        <v>45510</v>
      </c>
      <c r="N281" s="180"/>
      <c r="O281" s="180" t="s">
        <v>529</v>
      </c>
      <c r="P281" s="180" t="s">
        <v>745</v>
      </c>
      <c r="Q281" s="185">
        <v>0.20000000000000001</v>
      </c>
      <c r="R281" s="183"/>
      <c r="S281" s="185">
        <v>0</v>
      </c>
      <c r="T281" s="185">
        <v>308.63999999999999</v>
      </c>
    </row>
    <row r="282" ht="14.25">
      <c r="M282" s="184">
        <v>45530</v>
      </c>
      <c r="N282" s="180"/>
      <c r="O282" s="180" t="s">
        <v>529</v>
      </c>
      <c r="P282" s="180" t="s">
        <v>745</v>
      </c>
      <c r="Q282" s="185">
        <v>0.20000000000000001</v>
      </c>
      <c r="R282" s="183"/>
      <c r="S282" s="185">
        <v>0</v>
      </c>
      <c r="T282" s="185">
        <v>308.83999999999997</v>
      </c>
    </row>
    <row r="283" ht="14.25">
      <c r="M283" s="184">
        <v>45530</v>
      </c>
      <c r="N283" s="180"/>
      <c r="O283" s="180" t="s">
        <v>529</v>
      </c>
      <c r="P283" s="180" t="s">
        <v>745</v>
      </c>
      <c r="Q283" s="185">
        <v>0.20000000000000001</v>
      </c>
      <c r="R283" s="183"/>
      <c r="S283" s="185">
        <v>0</v>
      </c>
      <c r="T283" s="185">
        <v>309.04000000000002</v>
      </c>
    </row>
    <row r="284" ht="14.25">
      <c r="M284" s="184">
        <v>45534</v>
      </c>
      <c r="N284" s="180"/>
      <c r="O284" s="180" t="s">
        <v>529</v>
      </c>
      <c r="P284" s="180" t="s">
        <v>737</v>
      </c>
      <c r="Q284" s="185">
        <v>12</v>
      </c>
      <c r="R284" s="183"/>
      <c r="S284" s="185">
        <v>0</v>
      </c>
      <c r="T284" s="185">
        <v>321.04000000000002</v>
      </c>
    </row>
    <row r="285" ht="14.25">
      <c r="M285" s="184">
        <v>45541</v>
      </c>
      <c r="N285" s="180"/>
      <c r="O285" s="180" t="s">
        <v>529</v>
      </c>
      <c r="P285" s="180" t="s">
        <v>746</v>
      </c>
      <c r="Q285" s="185">
        <v>0.20000000000000001</v>
      </c>
      <c r="R285" s="183"/>
      <c r="S285" s="185">
        <v>0</v>
      </c>
      <c r="T285" s="185">
        <v>321.24000000000001</v>
      </c>
    </row>
    <row r="286" ht="14.25">
      <c r="M286" s="184">
        <v>45541</v>
      </c>
      <c r="N286" s="180"/>
      <c r="O286" s="180" t="s">
        <v>529</v>
      </c>
      <c r="P286" s="180" t="s">
        <v>746</v>
      </c>
      <c r="Q286" s="185">
        <v>0.20000000000000001</v>
      </c>
      <c r="R286" s="183"/>
      <c r="S286" s="185">
        <v>0</v>
      </c>
      <c r="T286" s="185">
        <v>321.44</v>
      </c>
    </row>
    <row r="287" ht="14.25">
      <c r="M287" s="184">
        <v>45547</v>
      </c>
      <c r="N287" s="180"/>
      <c r="O287" s="180" t="s">
        <v>529</v>
      </c>
      <c r="P287" s="180" t="s">
        <v>735</v>
      </c>
      <c r="Q287" s="185">
        <v>0.20000000000000001</v>
      </c>
      <c r="R287" s="183"/>
      <c r="S287" s="185">
        <v>0</v>
      </c>
      <c r="T287" s="185">
        <v>321.63999999999999</v>
      </c>
    </row>
    <row r="288" ht="14.25">
      <c r="M288" s="184">
        <v>45551</v>
      </c>
      <c r="N288" s="180"/>
      <c r="O288" s="180" t="s">
        <v>529</v>
      </c>
      <c r="P288" s="180" t="s">
        <v>747</v>
      </c>
      <c r="Q288" s="185">
        <v>0.20000000000000001</v>
      </c>
      <c r="R288" s="183"/>
      <c r="S288" s="185">
        <v>0</v>
      </c>
      <c r="T288" s="185">
        <v>321.83999999999997</v>
      </c>
    </row>
    <row r="289" ht="14.25">
      <c r="M289" s="184">
        <v>45562</v>
      </c>
      <c r="N289" s="180"/>
      <c r="O289" s="180" t="s">
        <v>529</v>
      </c>
      <c r="P289" s="180" t="s">
        <v>746</v>
      </c>
      <c r="Q289" s="185">
        <v>0.20000000000000001</v>
      </c>
      <c r="R289" s="183"/>
      <c r="S289" s="185">
        <v>0</v>
      </c>
      <c r="T289" s="185">
        <v>322.04000000000002</v>
      </c>
    </row>
    <row r="290" ht="14.25">
      <c r="M290" s="184">
        <v>45562</v>
      </c>
      <c r="N290" s="180"/>
      <c r="O290" s="180" t="s">
        <v>529</v>
      </c>
      <c r="P290" s="180" t="s">
        <v>746</v>
      </c>
      <c r="Q290" s="185">
        <v>0.20000000000000001</v>
      </c>
      <c r="R290" s="183"/>
      <c r="S290" s="185">
        <v>0</v>
      </c>
      <c r="T290" s="185">
        <v>322.24000000000001</v>
      </c>
    </row>
    <row r="291" ht="14.25">
      <c r="M291" s="184">
        <v>45562</v>
      </c>
      <c r="N291" s="180"/>
      <c r="O291" s="180" t="s">
        <v>529</v>
      </c>
      <c r="P291" s="180" t="s">
        <v>746</v>
      </c>
      <c r="Q291" s="185">
        <v>0.20000000000000001</v>
      </c>
      <c r="R291" s="183"/>
      <c r="S291" s="185">
        <v>0</v>
      </c>
      <c r="T291" s="185">
        <v>322.44</v>
      </c>
    </row>
    <row r="292" ht="14.25">
      <c r="M292" s="184">
        <v>45565</v>
      </c>
      <c r="N292" s="180"/>
      <c r="O292" s="180" t="s">
        <v>529</v>
      </c>
      <c r="P292" s="180" t="s">
        <v>737</v>
      </c>
      <c r="Q292" s="185">
        <v>12</v>
      </c>
      <c r="R292" s="183"/>
      <c r="S292" s="185">
        <v>0</v>
      </c>
      <c r="T292" s="185">
        <v>334.44</v>
      </c>
    </row>
    <row r="293" ht="14.25">
      <c r="M293" s="184">
        <v>45565</v>
      </c>
      <c r="N293" s="180"/>
      <c r="O293" s="180" t="s">
        <v>529</v>
      </c>
      <c r="P293" s="180" t="s">
        <v>748</v>
      </c>
      <c r="Q293" s="185">
        <v>69.370000000000005</v>
      </c>
      <c r="R293" s="183"/>
      <c r="S293" s="185">
        <v>0</v>
      </c>
      <c r="T293" s="185">
        <v>403.81</v>
      </c>
    </row>
    <row r="294" ht="14.25">
      <c r="M294" s="184">
        <v>45572</v>
      </c>
      <c r="N294" s="180"/>
      <c r="O294" s="180" t="s">
        <v>529</v>
      </c>
      <c r="P294" s="180" t="s">
        <v>745</v>
      </c>
      <c r="Q294" s="185">
        <v>0.20000000000000001</v>
      </c>
      <c r="R294" s="183"/>
      <c r="S294" s="185">
        <v>0</v>
      </c>
      <c r="T294" s="185">
        <v>404.00999999999999</v>
      </c>
    </row>
    <row r="295" ht="14.25">
      <c r="M295" s="184">
        <v>45572</v>
      </c>
      <c r="N295" s="180"/>
      <c r="O295" s="180" t="s">
        <v>529</v>
      </c>
      <c r="P295" s="180" t="s">
        <v>745</v>
      </c>
      <c r="Q295" s="185">
        <v>0.20000000000000001</v>
      </c>
      <c r="R295" s="183"/>
      <c r="S295" s="185">
        <v>0</v>
      </c>
      <c r="T295" s="185">
        <v>404.20999999999998</v>
      </c>
    </row>
    <row r="296" ht="14.25">
      <c r="M296" s="184">
        <v>45576</v>
      </c>
      <c r="N296" s="180"/>
      <c r="O296" s="180" t="s">
        <v>529</v>
      </c>
      <c r="P296" s="180" t="s">
        <v>745</v>
      </c>
      <c r="Q296" s="185">
        <v>0.20000000000000001</v>
      </c>
      <c r="R296" s="183"/>
      <c r="S296" s="185">
        <v>0</v>
      </c>
      <c r="T296" s="185">
        <v>404.41000000000003</v>
      </c>
    </row>
    <row r="297" ht="14.25">
      <c r="M297" s="184">
        <v>45593</v>
      </c>
      <c r="N297" s="180"/>
      <c r="O297" s="180" t="s">
        <v>529</v>
      </c>
      <c r="P297" s="180" t="s">
        <v>749</v>
      </c>
      <c r="Q297" s="185">
        <v>0.20000000000000001</v>
      </c>
      <c r="R297" s="183"/>
      <c r="S297" s="185">
        <v>0</v>
      </c>
      <c r="T297" s="185">
        <v>404.61000000000001</v>
      </c>
    </row>
    <row r="298" ht="14.25">
      <c r="M298" s="184">
        <v>45593</v>
      </c>
      <c r="N298" s="180"/>
      <c r="O298" s="180" t="s">
        <v>529</v>
      </c>
      <c r="P298" s="180" t="s">
        <v>749</v>
      </c>
      <c r="Q298" s="185">
        <v>0.20000000000000001</v>
      </c>
      <c r="R298" s="183"/>
      <c r="S298" s="185">
        <v>0</v>
      </c>
      <c r="T298" s="185">
        <v>404.81</v>
      </c>
    </row>
    <row r="299" ht="14.25">
      <c r="M299" s="184">
        <v>45593</v>
      </c>
      <c r="N299" s="180"/>
      <c r="O299" s="180" t="s">
        <v>529</v>
      </c>
      <c r="P299" s="180" t="s">
        <v>749</v>
      </c>
      <c r="Q299" s="185">
        <v>0.20000000000000001</v>
      </c>
      <c r="R299" s="183"/>
      <c r="S299" s="185">
        <v>0</v>
      </c>
      <c r="T299" s="185">
        <v>405.00999999999999</v>
      </c>
    </row>
    <row r="300" ht="14.25">
      <c r="M300" s="184">
        <v>45596</v>
      </c>
      <c r="N300" s="180"/>
      <c r="O300" s="180" t="s">
        <v>529</v>
      </c>
      <c r="P300" s="180" t="s">
        <v>737</v>
      </c>
      <c r="Q300" s="185">
        <v>12</v>
      </c>
      <c r="R300" s="183"/>
      <c r="S300" s="185">
        <v>0</v>
      </c>
      <c r="T300" s="185">
        <v>417.00999999999999</v>
      </c>
    </row>
    <row r="301" ht="14.25">
      <c r="M301" s="186" t="s">
        <v>242</v>
      </c>
      <c r="N301" s="180"/>
      <c r="O301" s="180"/>
      <c r="P301" s="180"/>
      <c r="Q301" s="185">
        <v>417.00999999999999</v>
      </c>
      <c r="R301" s="183"/>
      <c r="S301" s="185">
        <v>0</v>
      </c>
      <c r="T301" s="185">
        <v>417.00999999999999</v>
      </c>
    </row>
    <row r="302" ht="14.25">
      <c r="M302" s="186" t="s">
        <v>750</v>
      </c>
      <c r="N302" s="180" t="s">
        <v>273</v>
      </c>
      <c r="O302" s="180"/>
      <c r="P302" s="180"/>
      <c r="Q302" s="180"/>
      <c r="R302" s="183"/>
      <c r="S302" s="180"/>
      <c r="T302" s="180"/>
    </row>
    <row r="303" ht="14.25">
      <c r="M303" s="184">
        <v>45292</v>
      </c>
      <c r="N303" s="185">
        <v>202415588</v>
      </c>
      <c r="O303" s="180" t="s">
        <v>474</v>
      </c>
      <c r="P303" s="180" t="s">
        <v>751</v>
      </c>
      <c r="Q303" s="185">
        <v>600</v>
      </c>
      <c r="R303" s="183"/>
      <c r="S303" s="185">
        <v>0</v>
      </c>
      <c r="T303" s="185">
        <v>600</v>
      </c>
    </row>
    <row r="304" ht="14.25">
      <c r="M304" s="184">
        <v>45322</v>
      </c>
      <c r="N304" s="180" t="s">
        <v>752</v>
      </c>
      <c r="O304" s="180" t="s">
        <v>474</v>
      </c>
      <c r="P304" s="180" t="s">
        <v>753</v>
      </c>
      <c r="Q304" s="185">
        <v>372</v>
      </c>
      <c r="R304" s="183"/>
      <c r="S304" s="185">
        <v>0</v>
      </c>
      <c r="T304" s="185">
        <v>972</v>
      </c>
    </row>
    <row r="305" ht="14.25">
      <c r="M305" s="184">
        <v>45436</v>
      </c>
      <c r="N305" s="185">
        <v>202415588</v>
      </c>
      <c r="O305" s="180" t="s">
        <v>474</v>
      </c>
      <c r="P305" s="180" t="s">
        <v>754</v>
      </c>
      <c r="Q305" s="185">
        <v>150</v>
      </c>
      <c r="R305" s="183"/>
      <c r="S305" s="185">
        <v>0</v>
      </c>
      <c r="T305" s="185">
        <v>1122</v>
      </c>
    </row>
    <row r="306" ht="14.25">
      <c r="M306" s="186" t="s">
        <v>242</v>
      </c>
      <c r="N306" s="180"/>
      <c r="O306" s="180"/>
      <c r="P306" s="180"/>
      <c r="Q306" s="185">
        <v>1122</v>
      </c>
      <c r="R306" s="183"/>
      <c r="S306" s="185">
        <v>0</v>
      </c>
      <c r="T306" s="185">
        <v>1122</v>
      </c>
    </row>
    <row r="307" ht="14.25">
      <c r="M307" s="186" t="s">
        <v>755</v>
      </c>
      <c r="N307" s="181" t="s">
        <v>87</v>
      </c>
      <c r="O307" s="180"/>
      <c r="P307" s="180"/>
      <c r="Q307" s="180"/>
      <c r="R307" s="183"/>
      <c r="S307" s="180"/>
      <c r="T307" s="180"/>
    </row>
    <row r="308" ht="14.25">
      <c r="M308" s="184">
        <v>45322</v>
      </c>
      <c r="N308" s="180" t="s">
        <v>756</v>
      </c>
      <c r="O308" s="180" t="s">
        <v>533</v>
      </c>
      <c r="P308" s="180" t="s">
        <v>757</v>
      </c>
      <c r="Q308" s="185">
        <v>47.200000000000003</v>
      </c>
      <c r="R308" s="183"/>
      <c r="S308" s="185">
        <v>0</v>
      </c>
      <c r="T308" s="185">
        <v>47.200000000000003</v>
      </c>
    </row>
    <row r="309" ht="14.25">
      <c r="M309" s="184">
        <v>45351</v>
      </c>
      <c r="N309" s="180" t="s">
        <v>758</v>
      </c>
      <c r="O309" s="180" t="s">
        <v>533</v>
      </c>
      <c r="P309" s="180" t="s">
        <v>759</v>
      </c>
      <c r="Q309" s="185">
        <v>47.200000000000003</v>
      </c>
      <c r="R309" s="183"/>
      <c r="S309" s="185">
        <v>0</v>
      </c>
      <c r="T309" s="185">
        <v>94.400000000000006</v>
      </c>
    </row>
    <row r="310" ht="14.25">
      <c r="M310" s="184">
        <v>45382</v>
      </c>
      <c r="N310" s="180" t="s">
        <v>760</v>
      </c>
      <c r="O310" s="180" t="s">
        <v>533</v>
      </c>
      <c r="P310" s="180" t="s">
        <v>761</v>
      </c>
      <c r="Q310" s="185">
        <v>47.200000000000003</v>
      </c>
      <c r="R310" s="183"/>
      <c r="S310" s="185">
        <v>0</v>
      </c>
      <c r="T310" s="185">
        <v>141.59999999999999</v>
      </c>
    </row>
    <row r="311" ht="14.25">
      <c r="M311" s="184">
        <v>45412</v>
      </c>
      <c r="N311" s="180" t="s">
        <v>762</v>
      </c>
      <c r="O311" s="180" t="s">
        <v>533</v>
      </c>
      <c r="P311" s="180" t="s">
        <v>763</v>
      </c>
      <c r="Q311" s="185">
        <v>47.200000000000003</v>
      </c>
      <c r="R311" s="183"/>
      <c r="S311" s="185">
        <v>0</v>
      </c>
      <c r="T311" s="185">
        <v>188.80000000000001</v>
      </c>
    </row>
    <row r="312" ht="14.25">
      <c r="M312" s="184">
        <v>45443</v>
      </c>
      <c r="N312" s="180" t="s">
        <v>764</v>
      </c>
      <c r="O312" s="180" t="s">
        <v>533</v>
      </c>
      <c r="P312" s="180" t="s">
        <v>765</v>
      </c>
      <c r="Q312" s="185">
        <v>47.200000000000003</v>
      </c>
      <c r="R312" s="183"/>
      <c r="S312" s="185">
        <v>0</v>
      </c>
      <c r="T312" s="185">
        <v>236</v>
      </c>
    </row>
    <row r="313" ht="14.25">
      <c r="M313" s="184">
        <v>45473</v>
      </c>
      <c r="N313" s="180" t="s">
        <v>766</v>
      </c>
      <c r="O313" s="180" t="s">
        <v>533</v>
      </c>
      <c r="P313" s="180" t="s">
        <v>767</v>
      </c>
      <c r="Q313" s="185">
        <v>47.200000000000003</v>
      </c>
      <c r="R313" s="183"/>
      <c r="S313" s="185">
        <v>0</v>
      </c>
      <c r="T313" s="185">
        <v>283.19999999999999</v>
      </c>
    </row>
    <row r="314" ht="14.25">
      <c r="M314" s="184">
        <v>45504</v>
      </c>
      <c r="N314" s="180" t="s">
        <v>768</v>
      </c>
      <c r="O314" s="180" t="s">
        <v>531</v>
      </c>
      <c r="P314" s="180" t="s">
        <v>769</v>
      </c>
      <c r="Q314" s="185">
        <v>94.400000000000006</v>
      </c>
      <c r="R314" s="183"/>
      <c r="S314" s="185">
        <v>0</v>
      </c>
      <c r="T314" s="185">
        <v>377.60000000000002</v>
      </c>
    </row>
    <row r="315" ht="14.25">
      <c r="M315" s="184">
        <v>45535</v>
      </c>
      <c r="N315" s="180" t="s">
        <v>770</v>
      </c>
      <c r="O315" s="180" t="s">
        <v>533</v>
      </c>
      <c r="P315" s="180" t="s">
        <v>771</v>
      </c>
      <c r="Q315" s="185">
        <v>47.200000000000003</v>
      </c>
      <c r="R315" s="183"/>
      <c r="S315" s="185">
        <v>0</v>
      </c>
      <c r="T315" s="185">
        <v>424.80000000000001</v>
      </c>
    </row>
    <row r="316" ht="14.25">
      <c r="M316" s="184">
        <v>45565</v>
      </c>
      <c r="N316" s="180" t="s">
        <v>772</v>
      </c>
      <c r="O316" s="180" t="s">
        <v>533</v>
      </c>
      <c r="P316" s="180" t="s">
        <v>773</v>
      </c>
      <c r="Q316" s="185">
        <v>47.200000000000003</v>
      </c>
      <c r="R316" s="183"/>
      <c r="S316" s="185">
        <v>0</v>
      </c>
      <c r="T316" s="185">
        <v>472</v>
      </c>
    </row>
    <row r="317" ht="14.25">
      <c r="M317" s="184">
        <v>45596</v>
      </c>
      <c r="N317" s="180" t="s">
        <v>774</v>
      </c>
      <c r="O317" s="180" t="s">
        <v>533</v>
      </c>
      <c r="P317" s="180" t="s">
        <v>775</v>
      </c>
      <c r="Q317" s="185">
        <v>47.200000000000003</v>
      </c>
      <c r="R317" s="183"/>
      <c r="S317" s="185">
        <v>0</v>
      </c>
      <c r="T317" s="185">
        <v>519.20000000000005</v>
      </c>
    </row>
    <row r="318" ht="14.25">
      <c r="M318" s="186" t="s">
        <v>242</v>
      </c>
      <c r="N318" s="180"/>
      <c r="O318" s="180"/>
      <c r="P318" s="180"/>
      <c r="Q318" s="185">
        <v>519.20000000000005</v>
      </c>
      <c r="R318" s="183"/>
      <c r="S318" s="185">
        <v>0</v>
      </c>
      <c r="T318" s="185">
        <v>519.20000000000005</v>
      </c>
    </row>
    <row r="319" ht="14.25">
      <c r="M319" s="186" t="s">
        <v>776</v>
      </c>
      <c r="N319" s="181" t="s">
        <v>777</v>
      </c>
      <c r="O319" s="181"/>
      <c r="P319" s="180"/>
      <c r="Q319" s="180"/>
      <c r="R319" s="183"/>
      <c r="S319" s="180"/>
      <c r="T319" s="180"/>
    </row>
    <row r="320" ht="14.25">
      <c r="M320" s="184">
        <v>45322</v>
      </c>
      <c r="N320" s="180" t="s">
        <v>756</v>
      </c>
      <c r="O320" s="180" t="s">
        <v>533</v>
      </c>
      <c r="P320" s="180" t="s">
        <v>778</v>
      </c>
      <c r="Q320" s="185">
        <v>44</v>
      </c>
      <c r="R320" s="183"/>
      <c r="S320" s="185">
        <v>0</v>
      </c>
      <c r="T320" s="185">
        <v>44</v>
      </c>
    </row>
    <row r="321" ht="14.25">
      <c r="M321" s="184">
        <v>45351</v>
      </c>
      <c r="N321" s="180" t="s">
        <v>758</v>
      </c>
      <c r="O321" s="180" t="s">
        <v>533</v>
      </c>
      <c r="P321" s="180" t="s">
        <v>779</v>
      </c>
      <c r="Q321" s="185">
        <v>44</v>
      </c>
      <c r="R321" s="183"/>
      <c r="S321" s="185">
        <v>0</v>
      </c>
      <c r="T321" s="185">
        <v>88</v>
      </c>
    </row>
    <row r="322" ht="14.25">
      <c r="M322" s="184">
        <v>45382</v>
      </c>
      <c r="N322" s="180" t="s">
        <v>760</v>
      </c>
      <c r="O322" s="180" t="s">
        <v>533</v>
      </c>
      <c r="P322" s="180" t="s">
        <v>780</v>
      </c>
      <c r="Q322" s="185">
        <v>44</v>
      </c>
      <c r="R322" s="183"/>
      <c r="S322" s="185">
        <v>0</v>
      </c>
      <c r="T322" s="185">
        <v>132</v>
      </c>
    </row>
    <row r="323" ht="14.25">
      <c r="M323" s="184">
        <v>45412</v>
      </c>
      <c r="N323" s="180" t="s">
        <v>762</v>
      </c>
      <c r="O323" s="180" t="s">
        <v>533</v>
      </c>
      <c r="P323" s="180" t="s">
        <v>781</v>
      </c>
      <c r="Q323" s="185">
        <v>44</v>
      </c>
      <c r="R323" s="183"/>
      <c r="S323" s="185">
        <v>0</v>
      </c>
      <c r="T323" s="185">
        <v>176</v>
      </c>
    </row>
    <row r="324" ht="14.25">
      <c r="M324" s="184">
        <v>45443</v>
      </c>
      <c r="N324" s="180" t="s">
        <v>764</v>
      </c>
      <c r="O324" s="180" t="s">
        <v>533</v>
      </c>
      <c r="P324" s="180" t="s">
        <v>782</v>
      </c>
      <c r="Q324" s="185">
        <v>44</v>
      </c>
      <c r="R324" s="183"/>
      <c r="S324" s="185">
        <v>0</v>
      </c>
      <c r="T324" s="185">
        <v>220</v>
      </c>
    </row>
    <row r="325" ht="14.25">
      <c r="M325" s="184">
        <v>45473</v>
      </c>
      <c r="N325" s="180" t="s">
        <v>766</v>
      </c>
      <c r="O325" s="180" t="s">
        <v>533</v>
      </c>
      <c r="P325" s="180" t="s">
        <v>783</v>
      </c>
      <c r="Q325" s="185">
        <v>44</v>
      </c>
      <c r="R325" s="183"/>
      <c r="S325" s="185">
        <v>0</v>
      </c>
      <c r="T325" s="185">
        <v>264</v>
      </c>
    </row>
    <row r="326" ht="14.25">
      <c r="M326" s="184">
        <v>45504</v>
      </c>
      <c r="N326" s="180" t="s">
        <v>768</v>
      </c>
      <c r="O326" s="180" t="s">
        <v>531</v>
      </c>
      <c r="P326" s="180" t="s">
        <v>784</v>
      </c>
      <c r="Q326" s="185">
        <v>88</v>
      </c>
      <c r="R326" s="183"/>
      <c r="S326" s="185">
        <v>0</v>
      </c>
      <c r="T326" s="185">
        <v>352</v>
      </c>
    </row>
    <row r="327" ht="14.25">
      <c r="M327" s="184">
        <v>45535</v>
      </c>
      <c r="N327" s="180" t="s">
        <v>770</v>
      </c>
      <c r="O327" s="180" t="s">
        <v>533</v>
      </c>
      <c r="P327" s="180" t="s">
        <v>785</v>
      </c>
      <c r="Q327" s="185">
        <v>44</v>
      </c>
      <c r="R327" s="183"/>
      <c r="S327" s="185">
        <v>0</v>
      </c>
      <c r="T327" s="185">
        <v>396</v>
      </c>
    </row>
    <row r="328" ht="14.25">
      <c r="M328" s="184">
        <v>45565</v>
      </c>
      <c r="N328" s="180" t="s">
        <v>772</v>
      </c>
      <c r="O328" s="180" t="s">
        <v>533</v>
      </c>
      <c r="P328" s="180" t="s">
        <v>786</v>
      </c>
      <c r="Q328" s="185">
        <v>44</v>
      </c>
      <c r="R328" s="183"/>
      <c r="S328" s="185">
        <v>0</v>
      </c>
      <c r="T328" s="185">
        <v>440</v>
      </c>
    </row>
    <row r="329" ht="14.25">
      <c r="M329" s="184">
        <v>45596</v>
      </c>
      <c r="N329" s="180" t="s">
        <v>774</v>
      </c>
      <c r="O329" s="180" t="s">
        <v>533</v>
      </c>
      <c r="P329" s="180" t="s">
        <v>787</v>
      </c>
      <c r="Q329" s="185">
        <v>44</v>
      </c>
      <c r="R329" s="183"/>
      <c r="S329" s="185">
        <v>0</v>
      </c>
      <c r="T329" s="185">
        <v>484</v>
      </c>
    </row>
    <row r="330" ht="14.25">
      <c r="M330" s="186" t="s">
        <v>242</v>
      </c>
      <c r="N330" s="180"/>
      <c r="O330" s="180"/>
      <c r="P330" s="180"/>
      <c r="Q330" s="185">
        <v>484</v>
      </c>
      <c r="R330" s="183"/>
      <c r="S330" s="185">
        <v>0</v>
      </c>
      <c r="T330" s="185">
        <v>484</v>
      </c>
    </row>
    <row r="331" ht="14.25">
      <c r="M331" s="186" t="s">
        <v>788</v>
      </c>
      <c r="N331" s="181" t="s">
        <v>789</v>
      </c>
      <c r="O331" s="180"/>
      <c r="P331" s="180"/>
      <c r="Q331" s="180"/>
      <c r="R331" s="183"/>
      <c r="S331" s="180"/>
      <c r="T331" s="180"/>
    </row>
    <row r="332" ht="14.25">
      <c r="M332" s="184">
        <v>45322</v>
      </c>
      <c r="N332" s="180" t="s">
        <v>756</v>
      </c>
      <c r="O332" s="180" t="s">
        <v>533</v>
      </c>
      <c r="P332" s="180" t="s">
        <v>790</v>
      </c>
      <c r="Q332" s="185">
        <v>8958.5</v>
      </c>
      <c r="R332" s="183"/>
      <c r="S332" s="185">
        <v>0</v>
      </c>
      <c r="T332" s="185">
        <v>8958.5</v>
      </c>
    </row>
    <row r="333" ht="14.25">
      <c r="M333" s="184">
        <v>45351</v>
      </c>
      <c r="N333" s="180" t="s">
        <v>758</v>
      </c>
      <c r="O333" s="180" t="s">
        <v>533</v>
      </c>
      <c r="P333" s="180" t="s">
        <v>791</v>
      </c>
      <c r="Q333" s="185">
        <v>8958.5</v>
      </c>
      <c r="R333" s="183"/>
      <c r="S333" s="185">
        <v>0</v>
      </c>
      <c r="T333" s="185">
        <v>17917</v>
      </c>
    </row>
    <row r="334" ht="14.25">
      <c r="M334" s="184">
        <v>45382</v>
      </c>
      <c r="N334" s="180" t="s">
        <v>760</v>
      </c>
      <c r="O334" s="180" t="s">
        <v>533</v>
      </c>
      <c r="P334" s="180" t="s">
        <v>792</v>
      </c>
      <c r="Q334" s="185">
        <v>8958.5</v>
      </c>
      <c r="R334" s="183"/>
      <c r="S334" s="185">
        <v>0</v>
      </c>
      <c r="T334" s="185">
        <v>26875.5</v>
      </c>
    </row>
    <row r="335" ht="14.25">
      <c r="M335" s="184">
        <v>45412</v>
      </c>
      <c r="N335" s="180" t="s">
        <v>762</v>
      </c>
      <c r="O335" s="180" t="s">
        <v>533</v>
      </c>
      <c r="P335" s="180" t="s">
        <v>793</v>
      </c>
      <c r="Q335" s="185">
        <v>8958.5</v>
      </c>
      <c r="R335" s="183"/>
      <c r="S335" s="185">
        <v>0</v>
      </c>
      <c r="T335" s="185">
        <v>35834</v>
      </c>
    </row>
    <row r="336" ht="14.25">
      <c r="M336" s="184">
        <v>45443</v>
      </c>
      <c r="N336" s="180" t="s">
        <v>764</v>
      </c>
      <c r="O336" s="180" t="s">
        <v>533</v>
      </c>
      <c r="P336" s="180" t="s">
        <v>794</v>
      </c>
      <c r="Q336" s="185">
        <v>8914.8999999999996</v>
      </c>
      <c r="R336" s="183"/>
      <c r="S336" s="185">
        <v>0</v>
      </c>
      <c r="T336" s="185">
        <v>44748.900000000001</v>
      </c>
    </row>
    <row r="337" ht="14.25">
      <c r="M337" s="184">
        <v>45473</v>
      </c>
      <c r="N337" s="180" t="s">
        <v>766</v>
      </c>
      <c r="O337" s="180" t="s">
        <v>533</v>
      </c>
      <c r="P337" s="180" t="s">
        <v>795</v>
      </c>
      <c r="Q337" s="185">
        <v>8479.25</v>
      </c>
      <c r="R337" s="183"/>
      <c r="S337" s="185">
        <v>0</v>
      </c>
      <c r="T337" s="185">
        <v>53228.150000000001</v>
      </c>
    </row>
    <row r="338" ht="14.25">
      <c r="M338" s="184">
        <v>45504</v>
      </c>
      <c r="N338" s="180" t="s">
        <v>768</v>
      </c>
      <c r="O338" s="180" t="s">
        <v>531</v>
      </c>
      <c r="P338" s="180" t="s">
        <v>796</v>
      </c>
      <c r="Q338" s="185">
        <v>16000</v>
      </c>
      <c r="R338" s="183"/>
      <c r="S338" s="185">
        <v>0</v>
      </c>
      <c r="T338" s="185">
        <v>69228.149999999994</v>
      </c>
    </row>
    <row r="339" ht="14.25">
      <c r="M339" s="184">
        <v>45535</v>
      </c>
      <c r="N339" s="180" t="s">
        <v>770</v>
      </c>
      <c r="O339" s="180" t="s">
        <v>533</v>
      </c>
      <c r="P339" s="180" t="s">
        <v>797</v>
      </c>
      <c r="Q339" s="185">
        <v>8000</v>
      </c>
      <c r="R339" s="183"/>
      <c r="S339" s="185">
        <v>0</v>
      </c>
      <c r="T339" s="185">
        <v>77228.149999999994</v>
      </c>
    </row>
    <row r="340" ht="14.25">
      <c r="M340" s="184">
        <v>45565</v>
      </c>
      <c r="N340" s="180" t="s">
        <v>772</v>
      </c>
      <c r="O340" s="180" t="s">
        <v>533</v>
      </c>
      <c r="P340" s="180" t="s">
        <v>798</v>
      </c>
      <c r="Q340" s="185">
        <v>8285</v>
      </c>
      <c r="R340" s="183"/>
      <c r="S340" s="185">
        <v>0</v>
      </c>
      <c r="T340" s="185">
        <v>85513.149999999994</v>
      </c>
    </row>
    <row r="341" ht="14.25">
      <c r="M341" s="184">
        <v>45596</v>
      </c>
      <c r="N341" s="180" t="s">
        <v>774</v>
      </c>
      <c r="O341" s="180" t="s">
        <v>533</v>
      </c>
      <c r="P341" s="180" t="s">
        <v>799</v>
      </c>
      <c r="Q341" s="185">
        <v>9000</v>
      </c>
      <c r="R341" s="183"/>
      <c r="S341" s="185">
        <v>0</v>
      </c>
      <c r="T341" s="185">
        <v>94513.149999999994</v>
      </c>
    </row>
    <row r="342" ht="14.25">
      <c r="M342" s="186" t="s">
        <v>242</v>
      </c>
      <c r="N342" s="180"/>
      <c r="O342" s="180"/>
      <c r="P342" s="180"/>
      <c r="Q342" s="185">
        <v>94513.149999999994</v>
      </c>
      <c r="R342" s="183"/>
      <c r="S342" s="185">
        <v>0</v>
      </c>
      <c r="T342" s="185">
        <v>94513.149999999994</v>
      </c>
    </row>
    <row r="343" ht="14.25">
      <c r="M343" s="186" t="s">
        <v>800</v>
      </c>
      <c r="N343" s="180" t="s">
        <v>801</v>
      </c>
      <c r="O343" s="180"/>
      <c r="P343" s="180"/>
      <c r="Q343" s="180"/>
      <c r="R343" s="183"/>
      <c r="S343" s="180"/>
      <c r="T343" s="180"/>
    </row>
    <row r="344" ht="14.25">
      <c r="M344" s="184">
        <v>45292</v>
      </c>
      <c r="N344" s="180" t="s">
        <v>802</v>
      </c>
      <c r="O344" s="180" t="s">
        <v>531</v>
      </c>
      <c r="P344" s="180" t="s">
        <v>803</v>
      </c>
      <c r="Q344" s="185">
        <v>0</v>
      </c>
      <c r="R344" s="183"/>
      <c r="S344" s="185">
        <v>150.41</v>
      </c>
      <c r="T344" s="185">
        <v>-150.41</v>
      </c>
    </row>
    <row r="345" ht="14.25">
      <c r="M345" s="186" t="s">
        <v>242</v>
      </c>
      <c r="N345" s="180"/>
      <c r="O345" s="180"/>
      <c r="P345" s="180"/>
      <c r="Q345" s="185">
        <v>0</v>
      </c>
      <c r="R345" s="183"/>
      <c r="S345" s="185">
        <v>150.41</v>
      </c>
      <c r="T345" s="185">
        <v>-150.41</v>
      </c>
    </row>
    <row r="346" ht="14.25">
      <c r="M346" s="186" t="s">
        <v>804</v>
      </c>
      <c r="N346" s="181" t="s">
        <v>805</v>
      </c>
      <c r="O346" s="180"/>
      <c r="P346" s="180"/>
      <c r="Q346" s="180"/>
      <c r="R346" s="183"/>
      <c r="S346" s="180"/>
      <c r="T346" s="180"/>
    </row>
    <row r="347" ht="14.25">
      <c r="M347" s="184">
        <v>45322</v>
      </c>
      <c r="N347" s="180" t="s">
        <v>756</v>
      </c>
      <c r="O347" s="180" t="s">
        <v>533</v>
      </c>
      <c r="P347" s="180" t="s">
        <v>806</v>
      </c>
      <c r="Q347" s="185">
        <v>324</v>
      </c>
      <c r="R347" s="183"/>
      <c r="S347" s="185">
        <v>0</v>
      </c>
      <c r="T347" s="185">
        <v>324</v>
      </c>
    </row>
    <row r="348" ht="14.25">
      <c r="M348" s="184">
        <v>45351</v>
      </c>
      <c r="N348" s="180" t="s">
        <v>758</v>
      </c>
      <c r="O348" s="180" t="s">
        <v>533</v>
      </c>
      <c r="P348" s="180" t="s">
        <v>807</v>
      </c>
      <c r="Q348" s="185">
        <v>324</v>
      </c>
      <c r="R348" s="183"/>
      <c r="S348" s="185">
        <v>0</v>
      </c>
      <c r="T348" s="185">
        <v>648</v>
      </c>
    </row>
    <row r="349" ht="14.25">
      <c r="M349" s="184">
        <v>45382</v>
      </c>
      <c r="N349" s="180" t="s">
        <v>760</v>
      </c>
      <c r="O349" s="180" t="s">
        <v>533</v>
      </c>
      <c r="P349" s="180" t="s">
        <v>808</v>
      </c>
      <c r="Q349" s="185">
        <v>324</v>
      </c>
      <c r="R349" s="183"/>
      <c r="S349" s="185">
        <v>0</v>
      </c>
      <c r="T349" s="185">
        <v>972</v>
      </c>
    </row>
    <row r="350" ht="14.25">
      <c r="M350" s="184">
        <v>45412</v>
      </c>
      <c r="N350" s="180" t="s">
        <v>762</v>
      </c>
      <c r="O350" s="180" t="s">
        <v>533</v>
      </c>
      <c r="P350" s="180" t="s">
        <v>809</v>
      </c>
      <c r="Q350" s="185">
        <v>324</v>
      </c>
      <c r="R350" s="183"/>
      <c r="S350" s="185">
        <v>0</v>
      </c>
      <c r="T350" s="185">
        <v>1296</v>
      </c>
    </row>
    <row r="351" ht="14.25">
      <c r="M351" s="184">
        <v>45443</v>
      </c>
      <c r="N351" s="180" t="s">
        <v>764</v>
      </c>
      <c r="O351" s="180" t="s">
        <v>533</v>
      </c>
      <c r="P351" s="180" t="s">
        <v>810</v>
      </c>
      <c r="Q351" s="185">
        <v>252</v>
      </c>
      <c r="R351" s="183"/>
      <c r="S351" s="185">
        <v>0</v>
      </c>
      <c r="T351" s="185">
        <v>1548</v>
      </c>
    </row>
    <row r="352" ht="14.25">
      <c r="M352" s="184">
        <v>45473</v>
      </c>
      <c r="N352" s="180" t="s">
        <v>766</v>
      </c>
      <c r="O352" s="180" t="s">
        <v>533</v>
      </c>
      <c r="P352" s="180" t="s">
        <v>811</v>
      </c>
      <c r="Q352" s="185">
        <v>276</v>
      </c>
      <c r="R352" s="183"/>
      <c r="S352" s="185">
        <v>0</v>
      </c>
      <c r="T352" s="185">
        <v>1824</v>
      </c>
    </row>
    <row r="353" ht="14.25">
      <c r="M353" s="184">
        <v>45504</v>
      </c>
      <c r="N353" s="180" t="s">
        <v>768</v>
      </c>
      <c r="O353" s="180" t="s">
        <v>531</v>
      </c>
      <c r="P353" s="180" t="s">
        <v>812</v>
      </c>
      <c r="Q353" s="185">
        <v>216</v>
      </c>
      <c r="R353" s="183"/>
      <c r="S353" s="185">
        <v>0</v>
      </c>
      <c r="T353" s="185">
        <v>2040</v>
      </c>
    </row>
    <row r="354" ht="14.25">
      <c r="M354" s="184">
        <v>45535</v>
      </c>
      <c r="N354" s="180" t="s">
        <v>770</v>
      </c>
      <c r="O354" s="180" t="s">
        <v>533</v>
      </c>
      <c r="P354" s="180" t="s">
        <v>813</v>
      </c>
      <c r="Q354" s="185">
        <v>216</v>
      </c>
      <c r="R354" s="183"/>
      <c r="S354" s="185">
        <v>0</v>
      </c>
      <c r="T354" s="185">
        <v>2256</v>
      </c>
    </row>
    <row r="355" ht="14.25">
      <c r="M355" s="184">
        <v>45565</v>
      </c>
      <c r="N355" s="180" t="s">
        <v>772</v>
      </c>
      <c r="O355" s="180" t="s">
        <v>533</v>
      </c>
      <c r="P355" s="180" t="s">
        <v>814</v>
      </c>
      <c r="Q355" s="185">
        <v>252</v>
      </c>
      <c r="R355" s="183"/>
      <c r="S355" s="185">
        <v>0</v>
      </c>
      <c r="T355" s="185">
        <v>2508</v>
      </c>
    </row>
    <row r="356" ht="14.25">
      <c r="M356" s="184">
        <v>45596</v>
      </c>
      <c r="N356" s="180" t="s">
        <v>774</v>
      </c>
      <c r="O356" s="180" t="s">
        <v>533</v>
      </c>
      <c r="P356" s="180" t="s">
        <v>815</v>
      </c>
      <c r="Q356" s="185">
        <v>336</v>
      </c>
      <c r="R356" s="183"/>
      <c r="S356" s="185">
        <v>0</v>
      </c>
      <c r="T356" s="185">
        <v>2844</v>
      </c>
    </row>
    <row r="357" ht="14.25">
      <c r="M357" s="186" t="s">
        <v>242</v>
      </c>
      <c r="N357" s="180"/>
      <c r="O357" s="180"/>
      <c r="P357" s="180"/>
      <c r="Q357" s="185">
        <v>2844</v>
      </c>
      <c r="R357" s="183"/>
      <c r="S357" s="185">
        <v>0</v>
      </c>
      <c r="T357" s="185">
        <v>2844</v>
      </c>
    </row>
    <row r="358" ht="14.25">
      <c r="M358" s="186" t="s">
        <v>816</v>
      </c>
      <c r="N358" s="181" t="s">
        <v>817</v>
      </c>
      <c r="O358" s="180"/>
      <c r="P358" s="180"/>
      <c r="Q358" s="180"/>
      <c r="R358" s="183"/>
      <c r="S358" s="180"/>
      <c r="T358" s="180"/>
    </row>
    <row r="359" ht="14.25">
      <c r="M359" s="184">
        <v>45322</v>
      </c>
      <c r="N359" s="180" t="s">
        <v>756</v>
      </c>
      <c r="O359" s="180" t="s">
        <v>533</v>
      </c>
      <c r="P359" s="180" t="s">
        <v>818</v>
      </c>
      <c r="Q359" s="185">
        <v>2272.5100000000002</v>
      </c>
      <c r="R359" s="183"/>
      <c r="S359" s="185">
        <v>0</v>
      </c>
      <c r="T359" s="185">
        <v>2272.5100000000002</v>
      </c>
    </row>
    <row r="360" ht="14.25">
      <c r="M360" s="195">
        <v>45351</v>
      </c>
      <c r="N360" s="196" t="s">
        <v>758</v>
      </c>
      <c r="O360" s="196" t="s">
        <v>533</v>
      </c>
      <c r="P360" s="196" t="s">
        <v>819</v>
      </c>
      <c r="Q360" s="197">
        <v>2272.5</v>
      </c>
      <c r="R360" s="198"/>
      <c r="S360" s="197">
        <v>0</v>
      </c>
      <c r="T360" s="197">
        <v>4545.0100000000002</v>
      </c>
    </row>
    <row r="361" ht="14.25">
      <c r="M361" s="195">
        <v>45382</v>
      </c>
      <c r="N361" s="196" t="s">
        <v>760</v>
      </c>
      <c r="O361" s="196" t="s">
        <v>533</v>
      </c>
      <c r="P361" s="196" t="s">
        <v>820</v>
      </c>
      <c r="Q361" s="199">
        <v>2272.5100000000002</v>
      </c>
      <c r="R361" s="198"/>
      <c r="S361" s="197">
        <v>0</v>
      </c>
      <c r="T361" s="197">
        <v>6817.5200000000004</v>
      </c>
    </row>
    <row r="362" ht="14.25">
      <c r="M362" s="184">
        <v>45412</v>
      </c>
      <c r="N362" s="180" t="s">
        <v>762</v>
      </c>
      <c r="O362" s="180" t="s">
        <v>533</v>
      </c>
      <c r="P362" s="180" t="s">
        <v>821</v>
      </c>
      <c r="Q362" s="185">
        <v>2272.5</v>
      </c>
      <c r="R362" s="183"/>
      <c r="S362" s="185">
        <v>0</v>
      </c>
      <c r="T362" s="185">
        <v>9090.0200000000004</v>
      </c>
    </row>
    <row r="363" ht="14.25">
      <c r="M363" s="184">
        <v>45443</v>
      </c>
      <c r="N363" s="180" t="s">
        <v>764</v>
      </c>
      <c r="O363" s="180" t="s">
        <v>533</v>
      </c>
      <c r="P363" s="180" t="s">
        <v>822</v>
      </c>
      <c r="Q363" s="185">
        <v>2276.79</v>
      </c>
      <c r="R363" s="183"/>
      <c r="S363" s="185">
        <v>0</v>
      </c>
      <c r="T363" s="185">
        <v>11366.809999999999</v>
      </c>
    </row>
    <row r="364" ht="14.25">
      <c r="M364" s="184">
        <v>45473</v>
      </c>
      <c r="N364" s="180" t="s">
        <v>766</v>
      </c>
      <c r="O364" s="180" t="s">
        <v>533</v>
      </c>
      <c r="P364" s="180" t="s">
        <v>823</v>
      </c>
      <c r="Q364" s="185">
        <v>2319.6900000000001</v>
      </c>
      <c r="R364" s="183"/>
      <c r="S364" s="185">
        <v>0</v>
      </c>
      <c r="T364" s="185">
        <v>13686.5</v>
      </c>
    </row>
    <row r="365" ht="14.25">
      <c r="M365" s="184">
        <v>45504</v>
      </c>
      <c r="N365" s="180" t="s">
        <v>768</v>
      </c>
      <c r="O365" s="180" t="s">
        <v>531</v>
      </c>
      <c r="P365" s="180" t="s">
        <v>824</v>
      </c>
      <c r="Q365" s="185">
        <v>4065.2600000000002</v>
      </c>
      <c r="R365" s="183"/>
      <c r="S365" s="185">
        <v>0</v>
      </c>
      <c r="T365" s="185">
        <v>17751.759999999998</v>
      </c>
    </row>
    <row r="366" ht="14.25">
      <c r="M366" s="184">
        <v>45535</v>
      </c>
      <c r="N366" s="180" t="s">
        <v>770</v>
      </c>
      <c r="O366" s="180" t="s">
        <v>533</v>
      </c>
      <c r="P366" s="180" t="s">
        <v>825</v>
      </c>
      <c r="Q366" s="185">
        <v>2366.8600000000001</v>
      </c>
      <c r="R366" s="183"/>
      <c r="S366" s="185">
        <v>0</v>
      </c>
      <c r="T366" s="185">
        <v>20118.619999999999</v>
      </c>
    </row>
    <row r="367" ht="14.25">
      <c r="M367" s="184">
        <v>45565</v>
      </c>
      <c r="N367" s="180" t="s">
        <v>772</v>
      </c>
      <c r="O367" s="180" t="s">
        <v>533</v>
      </c>
      <c r="P367" s="180" t="s">
        <v>826</v>
      </c>
      <c r="Q367" s="185">
        <v>2338.8200000000002</v>
      </c>
      <c r="R367" s="183"/>
      <c r="S367" s="185">
        <v>0</v>
      </c>
      <c r="T367" s="185">
        <v>22457.439999999999</v>
      </c>
    </row>
    <row r="368" ht="14.25">
      <c r="M368" s="184">
        <v>45596</v>
      </c>
      <c r="N368" s="180" t="s">
        <v>774</v>
      </c>
      <c r="O368" s="180" t="s">
        <v>533</v>
      </c>
      <c r="P368" s="180" t="s">
        <v>827</v>
      </c>
      <c r="Q368" s="185">
        <v>2268.4200000000001</v>
      </c>
      <c r="R368" s="183"/>
      <c r="S368" s="185">
        <v>0</v>
      </c>
      <c r="T368" s="185">
        <v>24725.860000000001</v>
      </c>
    </row>
    <row r="369" ht="14.25">
      <c r="M369" s="186" t="s">
        <v>242</v>
      </c>
      <c r="N369" s="180"/>
      <c r="O369" s="180"/>
      <c r="P369" s="180"/>
      <c r="Q369" s="185">
        <v>24725.860000000001</v>
      </c>
      <c r="R369" s="183"/>
      <c r="S369" s="185">
        <v>0</v>
      </c>
      <c r="T369" s="185">
        <v>24725.860000000001</v>
      </c>
    </row>
    <row r="370" ht="14.25">
      <c r="M370" s="186" t="s">
        <v>828</v>
      </c>
      <c r="N370" s="181" t="s">
        <v>829</v>
      </c>
      <c r="O370" s="180"/>
      <c r="P370" s="180"/>
      <c r="Q370" s="180"/>
      <c r="R370" s="183"/>
      <c r="S370" s="180"/>
      <c r="T370" s="180"/>
    </row>
    <row r="371" ht="14.25">
      <c r="M371" s="184">
        <v>45322</v>
      </c>
      <c r="N371" s="180" t="s">
        <v>756</v>
      </c>
      <c r="O371" s="180" t="s">
        <v>533</v>
      </c>
      <c r="P371" s="180" t="s">
        <v>830</v>
      </c>
      <c r="Q371" s="185">
        <v>544.13999999999999</v>
      </c>
      <c r="R371" s="183"/>
      <c r="S371" s="185">
        <v>0</v>
      </c>
      <c r="T371" s="185">
        <v>544.13999999999999</v>
      </c>
    </row>
    <row r="372" ht="14.25">
      <c r="M372" s="184">
        <v>45351</v>
      </c>
      <c r="N372" s="180" t="s">
        <v>758</v>
      </c>
      <c r="O372" s="180" t="s">
        <v>533</v>
      </c>
      <c r="P372" s="180" t="s">
        <v>831</v>
      </c>
      <c r="Q372" s="185">
        <v>544.13999999999999</v>
      </c>
      <c r="R372" s="183"/>
      <c r="S372" s="185">
        <v>0</v>
      </c>
      <c r="T372" s="185">
        <v>1088.28</v>
      </c>
    </row>
    <row r="373" ht="14.25">
      <c r="M373" s="184">
        <v>45382</v>
      </c>
      <c r="N373" s="180" t="s">
        <v>760</v>
      </c>
      <c r="O373" s="180" t="s">
        <v>533</v>
      </c>
      <c r="P373" s="180" t="s">
        <v>832</v>
      </c>
      <c r="Q373" s="185">
        <v>544.13999999999999</v>
      </c>
      <c r="R373" s="183"/>
      <c r="S373" s="185">
        <v>0</v>
      </c>
      <c r="T373" s="185">
        <v>1632.4200000000001</v>
      </c>
    </row>
    <row r="374" ht="14.25">
      <c r="M374" s="184">
        <v>45412</v>
      </c>
      <c r="N374" s="180" t="s">
        <v>762</v>
      </c>
      <c r="O374" s="180" t="s">
        <v>533</v>
      </c>
      <c r="P374" s="180" t="s">
        <v>833</v>
      </c>
      <c r="Q374" s="185">
        <v>544.13999999999999</v>
      </c>
      <c r="R374" s="183"/>
      <c r="S374" s="185">
        <v>0</v>
      </c>
      <c r="T374" s="185">
        <v>2176.5599999999999</v>
      </c>
    </row>
    <row r="375" ht="14.25">
      <c r="M375" s="184">
        <v>45443</v>
      </c>
      <c r="N375" s="180" t="s">
        <v>764</v>
      </c>
      <c r="O375" s="180" t="s">
        <v>533</v>
      </c>
      <c r="P375" s="180" t="s">
        <v>834</v>
      </c>
      <c r="Q375" s="185">
        <v>543.48000000000002</v>
      </c>
      <c r="R375" s="183"/>
      <c r="S375" s="185">
        <v>0</v>
      </c>
      <c r="T375" s="185">
        <v>2720.04</v>
      </c>
    </row>
    <row r="376" ht="14.25">
      <c r="M376" s="184">
        <v>45473</v>
      </c>
      <c r="N376" s="180" t="s">
        <v>766</v>
      </c>
      <c r="O376" s="180" t="s">
        <v>533</v>
      </c>
      <c r="P376" s="180" t="s">
        <v>835</v>
      </c>
      <c r="Q376" s="185">
        <v>536.95000000000005</v>
      </c>
      <c r="R376" s="183"/>
      <c r="S376" s="185">
        <v>0</v>
      </c>
      <c r="T376" s="185">
        <v>3256.9899999999998</v>
      </c>
    </row>
    <row r="377" ht="14.25">
      <c r="M377" s="184">
        <v>45476</v>
      </c>
      <c r="N377" s="180"/>
      <c r="O377" s="180" t="s">
        <v>474</v>
      </c>
      <c r="P377" s="180" t="s">
        <v>836</v>
      </c>
      <c r="Q377" s="185">
        <v>187</v>
      </c>
      <c r="R377" s="183"/>
      <c r="S377" s="185">
        <v>0</v>
      </c>
      <c r="T377" s="185">
        <v>3443.9899999999998</v>
      </c>
    </row>
    <row r="378" ht="14.25">
      <c r="M378" s="184">
        <v>45504</v>
      </c>
      <c r="N378" s="180" t="s">
        <v>768</v>
      </c>
      <c r="O378" s="180" t="s">
        <v>531</v>
      </c>
      <c r="P378" s="180" t="s">
        <v>837</v>
      </c>
      <c r="Q378" s="185">
        <v>293.75999999999999</v>
      </c>
      <c r="R378" s="183"/>
      <c r="S378" s="185">
        <v>0</v>
      </c>
      <c r="T378" s="185">
        <v>3737.75</v>
      </c>
    </row>
    <row r="379" ht="14.25">
      <c r="M379" s="184">
        <v>45504</v>
      </c>
      <c r="N379" s="180" t="s">
        <v>768</v>
      </c>
      <c r="O379" s="180" t="s">
        <v>531</v>
      </c>
      <c r="P379" s="180" t="s">
        <v>838</v>
      </c>
      <c r="Q379" s="185">
        <v>272</v>
      </c>
      <c r="R379" s="183"/>
      <c r="S379" s="185">
        <v>0</v>
      </c>
      <c r="T379" s="185">
        <v>4009.75</v>
      </c>
    </row>
    <row r="380" ht="14.25">
      <c r="M380" s="184">
        <v>45535</v>
      </c>
      <c r="N380" s="180" t="s">
        <v>770</v>
      </c>
      <c r="O380" s="180" t="s">
        <v>533</v>
      </c>
      <c r="P380" s="180" t="s">
        <v>839</v>
      </c>
      <c r="Q380" s="185">
        <v>121.76000000000001</v>
      </c>
      <c r="R380" s="183"/>
      <c r="S380" s="185">
        <v>0</v>
      </c>
      <c r="T380" s="185">
        <v>4131.5100000000002</v>
      </c>
    </row>
    <row r="381" ht="14.25">
      <c r="M381" s="184">
        <v>45535</v>
      </c>
      <c r="N381" s="180" t="s">
        <v>770</v>
      </c>
      <c r="O381" s="180" t="s">
        <v>533</v>
      </c>
      <c r="P381" s="180" t="s">
        <v>840</v>
      </c>
      <c r="Q381" s="185">
        <v>272</v>
      </c>
      <c r="R381" s="183"/>
      <c r="S381" s="185">
        <v>0</v>
      </c>
      <c r="T381" s="185">
        <v>4403.5100000000002</v>
      </c>
    </row>
    <row r="382" ht="14.25">
      <c r="M382" s="184">
        <v>45565</v>
      </c>
      <c r="N382" s="180" t="s">
        <v>772</v>
      </c>
      <c r="O382" s="180" t="s">
        <v>533</v>
      </c>
      <c r="P382" s="180" t="s">
        <v>841</v>
      </c>
      <c r="Q382" s="185">
        <v>126.04000000000001</v>
      </c>
      <c r="R382" s="183"/>
      <c r="S382" s="185">
        <v>0</v>
      </c>
      <c r="T382" s="185">
        <v>4529.5500000000002</v>
      </c>
    </row>
    <row r="383" ht="14.25">
      <c r="M383" s="184">
        <v>45565</v>
      </c>
      <c r="N383" s="180" t="s">
        <v>772</v>
      </c>
      <c r="O383" s="180" t="s">
        <v>533</v>
      </c>
      <c r="P383" s="180" t="s">
        <v>842</v>
      </c>
      <c r="Q383" s="185">
        <v>361</v>
      </c>
      <c r="R383" s="183"/>
      <c r="S383" s="185">
        <v>0</v>
      </c>
      <c r="T383" s="185">
        <v>4890.5500000000002</v>
      </c>
    </row>
    <row r="384" ht="14.25">
      <c r="M384" s="184">
        <v>45568</v>
      </c>
      <c r="N384" s="180"/>
      <c r="O384" s="180" t="s">
        <v>474</v>
      </c>
      <c r="P384" s="180" t="s">
        <v>843</v>
      </c>
      <c r="Q384" s="185">
        <v>187</v>
      </c>
      <c r="R384" s="183"/>
      <c r="S384" s="185">
        <v>0</v>
      </c>
      <c r="T384" s="185">
        <v>5077.5500000000002</v>
      </c>
    </row>
    <row r="385" ht="14.25">
      <c r="M385" s="184">
        <v>45596</v>
      </c>
      <c r="N385" s="180" t="s">
        <v>774</v>
      </c>
      <c r="O385" s="180" t="s">
        <v>533</v>
      </c>
      <c r="P385" s="180" t="s">
        <v>844</v>
      </c>
      <c r="Q385" s="185">
        <v>136.75999999999999</v>
      </c>
      <c r="R385" s="183"/>
      <c r="S385" s="185">
        <v>0</v>
      </c>
      <c r="T385" s="185">
        <v>5214.3100000000004</v>
      </c>
    </row>
    <row r="386" ht="14.25">
      <c r="M386" s="184">
        <v>45596</v>
      </c>
      <c r="N386" s="180" t="s">
        <v>774</v>
      </c>
      <c r="O386" s="180" t="s">
        <v>533</v>
      </c>
      <c r="P386" s="180" t="s">
        <v>845</v>
      </c>
      <c r="Q386" s="185">
        <v>361</v>
      </c>
      <c r="R386" s="183"/>
      <c r="S386" s="185">
        <v>0</v>
      </c>
      <c r="T386" s="185">
        <v>5575.3100000000004</v>
      </c>
    </row>
    <row r="387" ht="14.25">
      <c r="M387" s="186" t="s">
        <v>242</v>
      </c>
      <c r="N387" s="180"/>
      <c r="O387" s="180"/>
      <c r="P387" s="180"/>
      <c r="Q387" s="185">
        <v>5575.3100000000004</v>
      </c>
      <c r="R387" s="183"/>
      <c r="S387" s="185">
        <v>0</v>
      </c>
      <c r="T387" s="185">
        <v>5575.3100000000004</v>
      </c>
    </row>
    <row r="388" ht="14.25">
      <c r="M388" s="186" t="s">
        <v>846</v>
      </c>
      <c r="N388" s="181" t="s">
        <v>847</v>
      </c>
      <c r="O388" s="180"/>
      <c r="P388" s="180"/>
      <c r="Q388" s="180"/>
      <c r="R388" s="183"/>
      <c r="S388" s="180"/>
      <c r="T388" s="180"/>
    </row>
    <row r="389" ht="14.25">
      <c r="M389" s="184">
        <v>45322</v>
      </c>
      <c r="N389" s="180" t="s">
        <v>756</v>
      </c>
      <c r="O389" s="180" t="s">
        <v>533</v>
      </c>
      <c r="P389" s="180" t="s">
        <v>848</v>
      </c>
      <c r="Q389" s="185">
        <v>578.48000000000002</v>
      </c>
      <c r="R389" s="183"/>
      <c r="S389" s="185">
        <v>0</v>
      </c>
      <c r="T389" s="185">
        <v>578.48000000000002</v>
      </c>
    </row>
    <row r="390" ht="14.25">
      <c r="M390" s="184">
        <v>45351</v>
      </c>
      <c r="N390" s="180" t="s">
        <v>758</v>
      </c>
      <c r="O390" s="180" t="s">
        <v>533</v>
      </c>
      <c r="P390" s="180" t="s">
        <v>849</v>
      </c>
      <c r="Q390" s="185">
        <v>578.48000000000002</v>
      </c>
      <c r="R390" s="183"/>
      <c r="S390" s="185">
        <v>0</v>
      </c>
      <c r="T390" s="185">
        <v>1156.96</v>
      </c>
    </row>
    <row r="391" ht="14.25">
      <c r="M391" s="184">
        <v>45382</v>
      </c>
      <c r="N391" s="180" t="s">
        <v>760</v>
      </c>
      <c r="O391" s="180" t="s">
        <v>533</v>
      </c>
      <c r="P391" s="180" t="s">
        <v>850</v>
      </c>
      <c r="Q391" s="185">
        <v>578.48000000000002</v>
      </c>
      <c r="R391" s="183"/>
      <c r="S391" s="185">
        <v>0</v>
      </c>
      <c r="T391" s="185">
        <v>1735.4400000000001</v>
      </c>
    </row>
    <row r="392" ht="14.25">
      <c r="M392" s="184">
        <v>45412</v>
      </c>
      <c r="N392" s="180" t="s">
        <v>762</v>
      </c>
      <c r="O392" s="180" t="s">
        <v>533</v>
      </c>
      <c r="P392" s="180" t="s">
        <v>851</v>
      </c>
      <c r="Q392" s="185">
        <v>578.48000000000002</v>
      </c>
      <c r="R392" s="183"/>
      <c r="S392" s="185">
        <v>0</v>
      </c>
      <c r="T392" s="185">
        <v>2313.9200000000001</v>
      </c>
    </row>
    <row r="393" ht="14.25">
      <c r="M393" s="184">
        <v>45443</v>
      </c>
      <c r="N393" s="180" t="s">
        <v>764</v>
      </c>
      <c r="O393" s="180" t="s">
        <v>533</v>
      </c>
      <c r="P393" s="180" t="s">
        <v>852</v>
      </c>
      <c r="Q393" s="185">
        <v>575.86000000000001</v>
      </c>
      <c r="R393" s="183"/>
      <c r="S393" s="185">
        <v>0</v>
      </c>
      <c r="T393" s="185">
        <v>2889.7800000000002</v>
      </c>
    </row>
    <row r="394" ht="14.25">
      <c r="M394" s="184">
        <v>45473</v>
      </c>
      <c r="N394" s="180" t="s">
        <v>766</v>
      </c>
      <c r="O394" s="180" t="s">
        <v>533</v>
      </c>
      <c r="P394" s="180" t="s">
        <v>853</v>
      </c>
      <c r="Q394" s="185">
        <v>549.67999999999995</v>
      </c>
      <c r="R394" s="183"/>
      <c r="S394" s="185">
        <v>0</v>
      </c>
      <c r="T394" s="185">
        <v>3439.46</v>
      </c>
    </row>
    <row r="395" ht="14.25">
      <c r="M395" s="184">
        <v>45504</v>
      </c>
      <c r="N395" s="180" t="s">
        <v>768</v>
      </c>
      <c r="O395" s="180" t="s">
        <v>531</v>
      </c>
      <c r="P395" s="180" t="s">
        <v>854</v>
      </c>
      <c r="Q395" s="185">
        <v>1703.28</v>
      </c>
      <c r="R395" s="183"/>
      <c r="S395" s="185">
        <v>0</v>
      </c>
      <c r="T395" s="185">
        <v>5142.7399999999998</v>
      </c>
    </row>
    <row r="396" ht="14.25">
      <c r="M396" s="184">
        <v>45535</v>
      </c>
      <c r="N396" s="180" t="s">
        <v>770</v>
      </c>
      <c r="O396" s="180" t="s">
        <v>533</v>
      </c>
      <c r="P396" s="180" t="s">
        <v>855</v>
      </c>
      <c r="Q396" s="185">
        <v>520.88</v>
      </c>
      <c r="R396" s="183"/>
      <c r="S396" s="185">
        <v>0</v>
      </c>
      <c r="T396" s="185">
        <v>5663.6199999999999</v>
      </c>
    </row>
    <row r="397" ht="14.25">
      <c r="M397" s="184">
        <v>45565</v>
      </c>
      <c r="N397" s="180" t="s">
        <v>772</v>
      </c>
      <c r="O397" s="180" t="s">
        <v>533</v>
      </c>
      <c r="P397" s="180" t="s">
        <v>856</v>
      </c>
      <c r="Q397" s="185">
        <v>538.00999999999999</v>
      </c>
      <c r="R397" s="183"/>
      <c r="S397" s="185">
        <v>0</v>
      </c>
      <c r="T397" s="185">
        <v>6201.6300000000001</v>
      </c>
    </row>
    <row r="398" ht="14.25">
      <c r="M398" s="184">
        <v>45596</v>
      </c>
      <c r="N398" s="180" t="s">
        <v>774</v>
      </c>
      <c r="O398" s="180" t="s">
        <v>533</v>
      </c>
      <c r="P398" s="180" t="s">
        <v>857</v>
      </c>
      <c r="Q398" s="185">
        <v>580.98000000000002</v>
      </c>
      <c r="R398" s="183"/>
      <c r="S398" s="185">
        <v>0</v>
      </c>
      <c r="T398" s="185">
        <v>6782.6099999999997</v>
      </c>
    </row>
    <row r="399" ht="14.25">
      <c r="M399" s="186" t="s">
        <v>242</v>
      </c>
      <c r="N399" s="180"/>
      <c r="O399" s="180"/>
      <c r="P399" s="180"/>
      <c r="Q399" s="185">
        <v>6782.6099999999997</v>
      </c>
      <c r="R399" s="183"/>
      <c r="S399" s="185">
        <v>0</v>
      </c>
      <c r="T399" s="185">
        <v>6782.6099999999997</v>
      </c>
    </row>
    <row r="400" ht="14.25">
      <c r="M400" s="186" t="s">
        <v>858</v>
      </c>
      <c r="N400" s="181" t="s">
        <v>859</v>
      </c>
      <c r="O400" s="180"/>
      <c r="P400" s="180"/>
      <c r="Q400" s="180"/>
      <c r="R400" s="183"/>
      <c r="S400" s="180"/>
      <c r="T400" s="180"/>
    </row>
    <row r="401" ht="14.25">
      <c r="M401" s="184">
        <v>45322</v>
      </c>
      <c r="N401" s="180"/>
      <c r="O401" s="180" t="s">
        <v>474</v>
      </c>
      <c r="P401" s="180" t="s">
        <v>860</v>
      </c>
      <c r="Q401" s="185">
        <v>267</v>
      </c>
      <c r="R401" s="183"/>
      <c r="S401" s="185">
        <v>0</v>
      </c>
      <c r="T401" s="185">
        <v>267</v>
      </c>
    </row>
    <row r="402" ht="14.25">
      <c r="M402" s="184">
        <v>45351</v>
      </c>
      <c r="N402" s="180"/>
      <c r="O402" s="180" t="s">
        <v>474</v>
      </c>
      <c r="P402" s="180" t="s">
        <v>861</v>
      </c>
      <c r="Q402" s="185">
        <v>267</v>
      </c>
      <c r="R402" s="183"/>
      <c r="S402" s="185">
        <v>0</v>
      </c>
      <c r="T402" s="185">
        <v>534</v>
      </c>
    </row>
    <row r="403" ht="14.25">
      <c r="M403" s="184">
        <v>45382</v>
      </c>
      <c r="N403" s="180"/>
      <c r="O403" s="180" t="s">
        <v>474</v>
      </c>
      <c r="P403" s="180" t="s">
        <v>862</v>
      </c>
      <c r="Q403" s="185">
        <v>267</v>
      </c>
      <c r="R403" s="183"/>
      <c r="S403" s="185">
        <v>0</v>
      </c>
      <c r="T403" s="185">
        <v>801</v>
      </c>
    </row>
    <row r="404" ht="14.25">
      <c r="M404" s="184">
        <v>45443</v>
      </c>
      <c r="N404" s="180"/>
      <c r="O404" s="180" t="s">
        <v>474</v>
      </c>
      <c r="P404" s="180" t="s">
        <v>863</v>
      </c>
      <c r="Q404" s="185">
        <v>267</v>
      </c>
      <c r="R404" s="183"/>
      <c r="S404" s="185">
        <v>0</v>
      </c>
      <c r="T404" s="185">
        <v>1068</v>
      </c>
    </row>
    <row r="405" ht="14.25">
      <c r="M405" s="184">
        <v>45473</v>
      </c>
      <c r="N405" s="180"/>
      <c r="O405" s="180" t="s">
        <v>474</v>
      </c>
      <c r="P405" s="180" t="s">
        <v>864</v>
      </c>
      <c r="Q405" s="185">
        <v>219.53</v>
      </c>
      <c r="R405" s="183"/>
      <c r="S405" s="185">
        <v>0</v>
      </c>
      <c r="T405" s="185">
        <v>1287.53</v>
      </c>
    </row>
    <row r="406" ht="14.25">
      <c r="M406" s="184">
        <v>45504</v>
      </c>
      <c r="N406" s="180"/>
      <c r="O406" s="180" t="s">
        <v>474</v>
      </c>
      <c r="P406" s="180" t="s">
        <v>865</v>
      </c>
      <c r="Q406" s="185">
        <v>178</v>
      </c>
      <c r="R406" s="183"/>
      <c r="S406" s="185">
        <v>0</v>
      </c>
      <c r="T406" s="185">
        <v>1465.53</v>
      </c>
    </row>
    <row r="407" ht="14.25">
      <c r="M407" s="184">
        <v>45535</v>
      </c>
      <c r="N407" s="180"/>
      <c r="O407" s="180" t="s">
        <v>474</v>
      </c>
      <c r="P407" s="180" t="s">
        <v>866</v>
      </c>
      <c r="Q407" s="185">
        <v>178</v>
      </c>
      <c r="R407" s="183"/>
      <c r="S407" s="185">
        <v>0</v>
      </c>
      <c r="T407" s="185">
        <v>1643.53</v>
      </c>
    </row>
    <row r="408" ht="14.25">
      <c r="M408" s="184">
        <v>45565</v>
      </c>
      <c r="N408" s="185">
        <v>95546</v>
      </c>
      <c r="O408" s="180" t="s">
        <v>474</v>
      </c>
      <c r="P408" s="180" t="s">
        <v>867</v>
      </c>
      <c r="Q408" s="185">
        <v>201.72999999999999</v>
      </c>
      <c r="R408" s="183"/>
      <c r="S408" s="185">
        <v>0</v>
      </c>
      <c r="T408" s="185">
        <v>1845.26</v>
      </c>
    </row>
    <row r="409" ht="14.25">
      <c r="M409" s="184">
        <v>45596</v>
      </c>
      <c r="N409" s="185" t="s">
        <v>868</v>
      </c>
      <c r="O409" s="180" t="s">
        <v>474</v>
      </c>
      <c r="P409" s="180" t="s">
        <v>869</v>
      </c>
      <c r="Q409" s="185">
        <v>267</v>
      </c>
      <c r="R409" s="183"/>
      <c r="S409" s="185">
        <v>0</v>
      </c>
      <c r="T409" s="185">
        <v>2112.2600000000002</v>
      </c>
    </row>
    <row r="410" ht="14.25">
      <c r="M410" s="186" t="s">
        <v>242</v>
      </c>
      <c r="N410" s="180"/>
      <c r="O410" s="180"/>
      <c r="P410" s="180"/>
      <c r="Q410" s="185">
        <v>2112.2600000000002</v>
      </c>
      <c r="R410" s="183"/>
      <c r="S410" s="185">
        <v>0</v>
      </c>
      <c r="T410" s="185">
        <v>2112.2600000000002</v>
      </c>
    </row>
    <row r="411" ht="14.25">
      <c r="M411" s="186" t="s">
        <v>870</v>
      </c>
      <c r="N411" s="181" t="s">
        <v>871</v>
      </c>
      <c r="O411" s="180"/>
      <c r="P411" s="180"/>
      <c r="Q411" s="180"/>
      <c r="R411" s="183"/>
      <c r="S411" s="180"/>
      <c r="T411" s="180"/>
    </row>
    <row r="412" ht="14.25">
      <c r="M412" s="184">
        <v>45322</v>
      </c>
      <c r="N412" s="180" t="s">
        <v>756</v>
      </c>
      <c r="O412" s="180" t="s">
        <v>533</v>
      </c>
      <c r="P412" s="180" t="s">
        <v>872</v>
      </c>
      <c r="Q412" s="185">
        <v>40.740000000000002</v>
      </c>
      <c r="R412" s="183"/>
      <c r="S412" s="185">
        <v>0</v>
      </c>
      <c r="T412" s="185">
        <v>40.740000000000002</v>
      </c>
    </row>
    <row r="413" ht="14.25">
      <c r="M413" s="184">
        <v>45322</v>
      </c>
      <c r="N413" s="180" t="s">
        <v>756</v>
      </c>
      <c r="O413" s="180" t="s">
        <v>533</v>
      </c>
      <c r="P413" s="180" t="s">
        <v>873</v>
      </c>
      <c r="Q413" s="185">
        <v>6.3300000000000001</v>
      </c>
      <c r="R413" s="183"/>
      <c r="S413" s="185">
        <v>0</v>
      </c>
      <c r="T413" s="185">
        <v>47.07</v>
      </c>
    </row>
    <row r="414" ht="14.25">
      <c r="M414" s="184">
        <v>45351</v>
      </c>
      <c r="N414" s="180" t="s">
        <v>758</v>
      </c>
      <c r="O414" s="180" t="s">
        <v>533</v>
      </c>
      <c r="P414" s="180" t="s">
        <v>874</v>
      </c>
      <c r="Q414" s="185">
        <v>40.740000000000002</v>
      </c>
      <c r="R414" s="183"/>
      <c r="S414" s="185">
        <v>0</v>
      </c>
      <c r="T414" s="185">
        <v>87.810000000000002</v>
      </c>
    </row>
    <row r="415" ht="14.25">
      <c r="M415" s="184">
        <v>45351</v>
      </c>
      <c r="N415" s="180" t="s">
        <v>758</v>
      </c>
      <c r="O415" s="180" t="s">
        <v>533</v>
      </c>
      <c r="P415" s="180" t="s">
        <v>875</v>
      </c>
      <c r="Q415" s="185">
        <v>6.3300000000000001</v>
      </c>
      <c r="R415" s="183"/>
      <c r="S415" s="185">
        <v>0</v>
      </c>
      <c r="T415" s="185">
        <v>94.140000000000001</v>
      </c>
    </row>
    <row r="416" ht="14.25">
      <c r="M416" s="184">
        <v>45382</v>
      </c>
      <c r="N416" s="180" t="s">
        <v>760</v>
      </c>
      <c r="O416" s="180" t="s">
        <v>533</v>
      </c>
      <c r="P416" s="180" t="s">
        <v>876</v>
      </c>
      <c r="Q416" s="185">
        <v>40.740000000000002</v>
      </c>
      <c r="R416" s="183"/>
      <c r="S416" s="185">
        <v>0</v>
      </c>
      <c r="T416" s="185">
        <v>134.88</v>
      </c>
    </row>
    <row r="417" ht="14.25">
      <c r="M417" s="184">
        <v>45382</v>
      </c>
      <c r="N417" s="180" t="s">
        <v>760</v>
      </c>
      <c r="O417" s="180" t="s">
        <v>533</v>
      </c>
      <c r="P417" s="180" t="s">
        <v>877</v>
      </c>
      <c r="Q417" s="185">
        <v>6.3300000000000001</v>
      </c>
      <c r="R417" s="183"/>
      <c r="S417" s="185">
        <v>0</v>
      </c>
      <c r="T417" s="185">
        <v>141.21000000000001</v>
      </c>
    </row>
    <row r="418" ht="14.25">
      <c r="M418" s="184">
        <v>45412</v>
      </c>
      <c r="N418" s="180" t="s">
        <v>762</v>
      </c>
      <c r="O418" s="180" t="s">
        <v>533</v>
      </c>
      <c r="P418" s="180" t="s">
        <v>878</v>
      </c>
      <c r="Q418" s="185">
        <v>40.740000000000002</v>
      </c>
      <c r="R418" s="183"/>
      <c r="S418" s="185">
        <v>0</v>
      </c>
      <c r="T418" s="185">
        <v>181.94999999999999</v>
      </c>
    </row>
    <row r="419" ht="14.25">
      <c r="M419" s="184">
        <v>45412</v>
      </c>
      <c r="N419" s="180" t="s">
        <v>762</v>
      </c>
      <c r="O419" s="180" t="s">
        <v>533</v>
      </c>
      <c r="P419" s="180" t="s">
        <v>879</v>
      </c>
      <c r="Q419" s="185">
        <v>6.3300000000000001</v>
      </c>
      <c r="R419" s="183"/>
      <c r="S419" s="185">
        <v>0</v>
      </c>
      <c r="T419" s="185">
        <v>188.28</v>
      </c>
    </row>
    <row r="420" ht="14.25">
      <c r="M420" s="184">
        <v>45443</v>
      </c>
      <c r="N420" s="180" t="s">
        <v>764</v>
      </c>
      <c r="O420" s="180" t="s">
        <v>533</v>
      </c>
      <c r="P420" s="180" t="s">
        <v>880</v>
      </c>
      <c r="Q420" s="185">
        <v>38.880000000000003</v>
      </c>
      <c r="R420" s="183"/>
      <c r="S420" s="185">
        <v>0</v>
      </c>
      <c r="T420" s="185">
        <v>227.16</v>
      </c>
    </row>
    <row r="421" ht="14.25">
      <c r="M421" s="184">
        <v>45443</v>
      </c>
      <c r="N421" s="180" t="s">
        <v>764</v>
      </c>
      <c r="O421" s="180" t="s">
        <v>533</v>
      </c>
      <c r="P421" s="180" t="s">
        <v>881</v>
      </c>
      <c r="Q421" s="185">
        <v>6.1699999999999999</v>
      </c>
      <c r="R421" s="183"/>
      <c r="S421" s="185">
        <v>0</v>
      </c>
      <c r="T421" s="185">
        <v>233.33000000000001</v>
      </c>
    </row>
    <row r="422" ht="14.25">
      <c r="M422" s="184">
        <v>45473</v>
      </c>
      <c r="N422" s="180" t="s">
        <v>766</v>
      </c>
      <c r="O422" s="180" t="s">
        <v>533</v>
      </c>
      <c r="P422" s="180" t="s">
        <v>882</v>
      </c>
      <c r="Q422" s="185">
        <v>20.370000000000001</v>
      </c>
      <c r="R422" s="183"/>
      <c r="S422" s="185">
        <v>0</v>
      </c>
      <c r="T422" s="185">
        <v>253.69999999999999</v>
      </c>
    </row>
    <row r="423" ht="14.25">
      <c r="M423" s="184">
        <v>45473</v>
      </c>
      <c r="N423" s="180" t="s">
        <v>766</v>
      </c>
      <c r="O423" s="180" t="s">
        <v>533</v>
      </c>
      <c r="P423" s="180" t="s">
        <v>883</v>
      </c>
      <c r="Q423" s="185">
        <v>4.6100000000000003</v>
      </c>
      <c r="R423" s="183"/>
      <c r="S423" s="185">
        <v>0</v>
      </c>
      <c r="T423" s="185">
        <v>258.31</v>
      </c>
    </row>
    <row r="424" ht="14.25">
      <c r="M424" s="184">
        <v>45504</v>
      </c>
      <c r="N424" s="180" t="s">
        <v>768</v>
      </c>
      <c r="O424" s="180" t="s">
        <v>531</v>
      </c>
      <c r="P424" s="180" t="s">
        <v>884</v>
      </c>
      <c r="Q424" s="185">
        <v>5.7599999999999998</v>
      </c>
      <c r="R424" s="183"/>
      <c r="S424" s="185">
        <v>0</v>
      </c>
      <c r="T424" s="185">
        <v>264.06999999999999</v>
      </c>
    </row>
    <row r="425" ht="14.25">
      <c r="M425" s="184">
        <v>45535</v>
      </c>
      <c r="N425" s="180" t="s">
        <v>770</v>
      </c>
      <c r="O425" s="180" t="s">
        <v>533</v>
      </c>
      <c r="P425" s="180" t="s">
        <v>885</v>
      </c>
      <c r="Q425" s="185">
        <v>2.8799999999999999</v>
      </c>
      <c r="R425" s="183"/>
      <c r="S425" s="185">
        <v>0</v>
      </c>
      <c r="T425" s="185">
        <v>266.94999999999999</v>
      </c>
    </row>
    <row r="426" ht="14.25">
      <c r="M426" s="184">
        <v>45565</v>
      </c>
      <c r="N426" s="180" t="s">
        <v>772</v>
      </c>
      <c r="O426" s="180" t="s">
        <v>533</v>
      </c>
      <c r="P426" s="180" t="s">
        <v>886</v>
      </c>
      <c r="Q426" s="185">
        <v>2.8799999999999999</v>
      </c>
      <c r="R426" s="183"/>
      <c r="S426" s="185">
        <v>0</v>
      </c>
      <c r="T426" s="185">
        <v>269.82999999999998</v>
      </c>
    </row>
    <row r="427" ht="14.25">
      <c r="M427" s="184">
        <v>45565</v>
      </c>
      <c r="N427" s="180" t="s">
        <v>772</v>
      </c>
      <c r="O427" s="180" t="s">
        <v>533</v>
      </c>
      <c r="P427" s="180" t="s">
        <v>887</v>
      </c>
      <c r="Q427" s="185">
        <v>12.25</v>
      </c>
      <c r="R427" s="183"/>
      <c r="S427" s="185">
        <v>0</v>
      </c>
      <c r="T427" s="185">
        <v>282.07999999999998</v>
      </c>
    </row>
    <row r="428" ht="14.25">
      <c r="M428" s="184">
        <v>45596</v>
      </c>
      <c r="N428" s="180" t="s">
        <v>774</v>
      </c>
      <c r="O428" s="180" t="s">
        <v>533</v>
      </c>
      <c r="P428" s="180" t="s">
        <v>888</v>
      </c>
      <c r="Q428" s="185">
        <v>2.8799999999999999</v>
      </c>
      <c r="R428" s="183"/>
      <c r="S428" s="185">
        <v>0</v>
      </c>
      <c r="T428" s="185">
        <v>284.95999999999998</v>
      </c>
    </row>
    <row r="429" ht="14.25">
      <c r="M429" s="184">
        <v>45596</v>
      </c>
      <c r="N429" s="180" t="s">
        <v>774</v>
      </c>
      <c r="O429" s="180" t="s">
        <v>533</v>
      </c>
      <c r="P429" s="180" t="s">
        <v>889</v>
      </c>
      <c r="Q429" s="185">
        <v>43</v>
      </c>
      <c r="R429" s="183"/>
      <c r="S429" s="185">
        <v>0</v>
      </c>
      <c r="T429" s="185">
        <v>327.95999999999998</v>
      </c>
    </row>
    <row r="430" ht="14.25">
      <c r="M430" s="186" t="s">
        <v>242</v>
      </c>
      <c r="N430" s="180"/>
      <c r="O430" s="180"/>
      <c r="P430" s="180"/>
      <c r="Q430" s="185">
        <v>327.95999999999998</v>
      </c>
      <c r="R430" s="183"/>
      <c r="S430" s="185">
        <v>0</v>
      </c>
      <c r="T430" s="185">
        <v>327.95999999999998</v>
      </c>
    </row>
    <row r="431" ht="14.25">
      <c r="M431" s="186" t="s">
        <v>890</v>
      </c>
      <c r="N431" s="181" t="s">
        <v>891</v>
      </c>
      <c r="O431" s="181"/>
      <c r="P431" s="180"/>
      <c r="Q431" s="180"/>
      <c r="R431" s="183"/>
      <c r="S431" s="180"/>
      <c r="T431" s="180"/>
    </row>
    <row r="432" ht="14.25">
      <c r="M432" s="184">
        <v>45292</v>
      </c>
      <c r="N432" s="180" t="s">
        <v>892</v>
      </c>
      <c r="O432" s="180" t="s">
        <v>531</v>
      </c>
      <c r="P432" s="180" t="s">
        <v>803</v>
      </c>
      <c r="Q432" s="185">
        <v>0</v>
      </c>
      <c r="R432" s="183"/>
      <c r="S432" s="185">
        <v>11.23</v>
      </c>
      <c r="T432" s="185">
        <v>-11.23</v>
      </c>
    </row>
    <row r="433" ht="14.25">
      <c r="M433" s="186" t="s">
        <v>242</v>
      </c>
      <c r="N433" s="180"/>
      <c r="O433" s="180"/>
      <c r="P433" s="180"/>
      <c r="Q433" s="185">
        <v>0</v>
      </c>
      <c r="R433" s="183"/>
      <c r="S433" s="185">
        <v>11.23</v>
      </c>
      <c r="T433" s="185">
        <v>-11.23</v>
      </c>
    </row>
    <row r="434" ht="14.25">
      <c r="M434" s="186" t="s">
        <v>893</v>
      </c>
      <c r="N434" s="181" t="s">
        <v>894</v>
      </c>
      <c r="O434" s="181"/>
      <c r="P434" s="180"/>
      <c r="Q434" s="180"/>
      <c r="R434" s="183"/>
      <c r="S434" s="180"/>
      <c r="T434" s="180"/>
    </row>
    <row r="435" ht="14.25">
      <c r="M435" s="184">
        <v>45294</v>
      </c>
      <c r="N435" s="180" t="s">
        <v>895</v>
      </c>
      <c r="O435" s="180" t="s">
        <v>474</v>
      </c>
      <c r="P435" s="180" t="s">
        <v>896</v>
      </c>
      <c r="Q435" s="185">
        <v>269.10000000000002</v>
      </c>
      <c r="R435" s="183"/>
      <c r="S435" s="185">
        <v>0</v>
      </c>
      <c r="T435" s="185">
        <v>269.10000000000002</v>
      </c>
    </row>
    <row r="436" ht="14.25">
      <c r="M436" s="184">
        <v>45296</v>
      </c>
      <c r="N436" s="180" t="s">
        <v>897</v>
      </c>
      <c r="O436" s="180" t="s">
        <v>474</v>
      </c>
      <c r="P436" s="180" t="s">
        <v>898</v>
      </c>
      <c r="Q436" s="185">
        <v>300</v>
      </c>
      <c r="R436" s="183"/>
      <c r="S436" s="185">
        <v>0</v>
      </c>
      <c r="T436" s="185">
        <v>569.10000000000002</v>
      </c>
    </row>
    <row r="437" ht="14.25">
      <c r="M437" s="184">
        <v>45327</v>
      </c>
      <c r="N437" s="180" t="s">
        <v>899</v>
      </c>
      <c r="O437" s="180" t="s">
        <v>474</v>
      </c>
      <c r="P437" s="180" t="s">
        <v>898</v>
      </c>
      <c r="Q437" s="185">
        <v>300</v>
      </c>
      <c r="R437" s="183"/>
      <c r="S437" s="185">
        <v>0</v>
      </c>
      <c r="T437" s="185">
        <v>869.10000000000002</v>
      </c>
    </row>
    <row r="438" ht="14.25">
      <c r="M438" s="184">
        <v>45356</v>
      </c>
      <c r="N438" s="180" t="s">
        <v>900</v>
      </c>
      <c r="O438" s="180" t="s">
        <v>474</v>
      </c>
      <c r="P438" s="180" t="s">
        <v>898</v>
      </c>
      <c r="Q438" s="185">
        <v>300</v>
      </c>
      <c r="R438" s="183"/>
      <c r="S438" s="185">
        <v>0</v>
      </c>
      <c r="T438" s="185">
        <v>1169.0999999999999</v>
      </c>
    </row>
    <row r="439" ht="14.25">
      <c r="M439" s="184">
        <v>45385</v>
      </c>
      <c r="N439" s="180" t="s">
        <v>901</v>
      </c>
      <c r="O439" s="180" t="s">
        <v>474</v>
      </c>
      <c r="P439" s="180" t="s">
        <v>902</v>
      </c>
      <c r="Q439" s="185">
        <v>269.10000000000002</v>
      </c>
      <c r="R439" s="183"/>
      <c r="S439" s="185">
        <v>0</v>
      </c>
      <c r="T439" s="185">
        <v>1438.2</v>
      </c>
    </row>
    <row r="440" ht="14.25">
      <c r="M440" s="184">
        <v>45387</v>
      </c>
      <c r="N440" s="180" t="s">
        <v>903</v>
      </c>
      <c r="O440" s="180" t="s">
        <v>474</v>
      </c>
      <c r="P440" s="180" t="s">
        <v>898</v>
      </c>
      <c r="Q440" s="185">
        <v>300</v>
      </c>
      <c r="R440" s="183"/>
      <c r="S440" s="185">
        <v>0</v>
      </c>
      <c r="T440" s="185">
        <v>1738.2</v>
      </c>
    </row>
    <row r="441" ht="14.25">
      <c r="M441" s="184">
        <v>45415</v>
      </c>
      <c r="N441" s="185">
        <v>3482279</v>
      </c>
      <c r="O441" s="180" t="s">
        <v>474</v>
      </c>
      <c r="P441" s="180" t="s">
        <v>904</v>
      </c>
      <c r="Q441" s="185">
        <v>300</v>
      </c>
      <c r="R441" s="183"/>
      <c r="S441" s="185">
        <v>0</v>
      </c>
      <c r="T441" s="185">
        <v>2038.2</v>
      </c>
    </row>
    <row r="442" ht="14.25">
      <c r="M442" s="184">
        <v>45448</v>
      </c>
      <c r="N442" s="180" t="s">
        <v>905</v>
      </c>
      <c r="O442" s="180" t="s">
        <v>474</v>
      </c>
      <c r="P442" s="180" t="s">
        <v>906</v>
      </c>
      <c r="Q442" s="185">
        <v>300</v>
      </c>
      <c r="R442" s="183"/>
      <c r="S442" s="185">
        <v>0</v>
      </c>
      <c r="T442" s="185">
        <v>2338.1999999999998</v>
      </c>
    </row>
    <row r="443" ht="14.25">
      <c r="M443" s="184">
        <v>45476</v>
      </c>
      <c r="N443" s="180" t="s">
        <v>907</v>
      </c>
      <c r="O443" s="180" t="s">
        <v>474</v>
      </c>
      <c r="P443" s="180" t="s">
        <v>908</v>
      </c>
      <c r="Q443" s="185">
        <v>269.10000000000002</v>
      </c>
      <c r="R443" s="183"/>
      <c r="S443" s="185">
        <v>0</v>
      </c>
      <c r="T443" s="185">
        <v>2607.3000000000002</v>
      </c>
    </row>
    <row r="444" ht="14.25">
      <c r="M444" s="184">
        <v>45478</v>
      </c>
      <c r="N444" s="180" t="s">
        <v>909</v>
      </c>
      <c r="O444" s="180" t="s">
        <v>474</v>
      </c>
      <c r="P444" s="180" t="s">
        <v>910</v>
      </c>
      <c r="Q444" s="185">
        <v>200</v>
      </c>
      <c r="R444" s="183"/>
      <c r="S444" s="185">
        <v>0</v>
      </c>
      <c r="T444" s="185">
        <v>2807.3000000000002</v>
      </c>
    </row>
    <row r="445" ht="14.25">
      <c r="M445" s="184">
        <v>45509</v>
      </c>
      <c r="N445" s="180" t="s">
        <v>911</v>
      </c>
      <c r="O445" s="180" t="s">
        <v>474</v>
      </c>
      <c r="P445" s="180" t="s">
        <v>910</v>
      </c>
      <c r="Q445" s="185">
        <v>200</v>
      </c>
      <c r="R445" s="183"/>
      <c r="S445" s="185">
        <v>0</v>
      </c>
      <c r="T445" s="185">
        <v>3007.3000000000002</v>
      </c>
    </row>
    <row r="446" ht="14.25">
      <c r="M446" s="184">
        <v>45540</v>
      </c>
      <c r="N446" s="180" t="s">
        <v>912</v>
      </c>
      <c r="O446" s="180" t="s">
        <v>474</v>
      </c>
      <c r="P446" s="180" t="s">
        <v>913</v>
      </c>
      <c r="Q446" s="185">
        <v>200</v>
      </c>
      <c r="R446" s="183"/>
      <c r="S446" s="185">
        <v>0</v>
      </c>
      <c r="T446" s="185">
        <v>3207.3000000000002</v>
      </c>
    </row>
    <row r="447" ht="14.25">
      <c r="M447" s="184">
        <v>45568</v>
      </c>
      <c r="N447" s="180" t="s">
        <v>914</v>
      </c>
      <c r="O447" s="180" t="s">
        <v>474</v>
      </c>
      <c r="P447" s="180" t="s">
        <v>915</v>
      </c>
      <c r="Q447" s="185">
        <v>269.10000000000002</v>
      </c>
      <c r="R447" s="183"/>
      <c r="S447" s="185">
        <v>0</v>
      </c>
      <c r="T447" s="185">
        <v>3476.4000000000001</v>
      </c>
    </row>
    <row r="448" ht="14.25">
      <c r="M448" s="184">
        <v>45572</v>
      </c>
      <c r="N448" s="180" t="s">
        <v>916</v>
      </c>
      <c r="O448" s="180" t="s">
        <v>474</v>
      </c>
      <c r="P448" s="180" t="s">
        <v>917</v>
      </c>
      <c r="Q448" s="185">
        <v>300</v>
      </c>
      <c r="R448" s="183"/>
      <c r="S448" s="185">
        <v>0</v>
      </c>
      <c r="T448" s="185">
        <v>3776.4000000000001</v>
      </c>
    </row>
    <row r="449" ht="14.25">
      <c r="M449" s="186" t="s">
        <v>242</v>
      </c>
      <c r="N449" s="180"/>
      <c r="O449" s="180"/>
      <c r="P449" s="180"/>
      <c r="Q449" s="185">
        <v>3776.4000000000001</v>
      </c>
      <c r="R449" s="183"/>
      <c r="S449" s="185">
        <v>0</v>
      </c>
      <c r="T449" s="185">
        <v>3776.4000000000001</v>
      </c>
    </row>
    <row r="450" ht="14.25">
      <c r="M450" s="186" t="s">
        <v>918</v>
      </c>
      <c r="N450" s="181" t="s">
        <v>919</v>
      </c>
      <c r="O450" s="180"/>
      <c r="P450" s="180"/>
      <c r="Q450" s="180"/>
      <c r="R450" s="183"/>
      <c r="S450" s="180"/>
      <c r="T450" s="180"/>
    </row>
    <row r="451" ht="14.25">
      <c r="M451" s="184">
        <v>45306</v>
      </c>
      <c r="N451" s="180"/>
      <c r="O451" s="180" t="s">
        <v>529</v>
      </c>
      <c r="P451" s="180" t="s">
        <v>920</v>
      </c>
      <c r="Q451" s="185">
        <v>1.79</v>
      </c>
      <c r="R451" s="183"/>
      <c r="S451" s="185">
        <v>0</v>
      </c>
      <c r="T451" s="185">
        <v>1.79</v>
      </c>
    </row>
    <row r="452" ht="14.25">
      <c r="M452" s="184">
        <v>45314</v>
      </c>
      <c r="N452" s="180"/>
      <c r="O452" s="180" t="s">
        <v>531</v>
      </c>
      <c r="P452" s="180" t="s">
        <v>921</v>
      </c>
      <c r="Q452" s="185">
        <v>6.3600000000000003</v>
      </c>
      <c r="R452" s="183"/>
      <c r="S452" s="185">
        <v>0</v>
      </c>
      <c r="T452" s="185">
        <v>8.1500000000000004</v>
      </c>
    </row>
    <row r="453" ht="14.25">
      <c r="M453" s="184">
        <v>45322</v>
      </c>
      <c r="N453" s="180"/>
      <c r="O453" s="180" t="s">
        <v>531</v>
      </c>
      <c r="P453" s="180" t="s">
        <v>922</v>
      </c>
      <c r="Q453" s="185">
        <v>0.070000000000000007</v>
      </c>
      <c r="R453" s="183"/>
      <c r="S453" s="185">
        <v>0</v>
      </c>
      <c r="T453" s="185">
        <v>8.2200000000000006</v>
      </c>
    </row>
    <row r="454" ht="14.25">
      <c r="M454" s="184">
        <v>45337</v>
      </c>
      <c r="N454" s="180"/>
      <c r="O454" s="180" t="s">
        <v>531</v>
      </c>
      <c r="P454" s="180" t="s">
        <v>923</v>
      </c>
      <c r="Q454" s="185">
        <v>1.22</v>
      </c>
      <c r="R454" s="183"/>
      <c r="S454" s="185">
        <v>0</v>
      </c>
      <c r="T454" s="185">
        <v>9.4399999999999995</v>
      </c>
    </row>
    <row r="455" ht="14.25">
      <c r="M455" s="184">
        <v>45371</v>
      </c>
      <c r="N455" s="180"/>
      <c r="O455" s="180" t="s">
        <v>529</v>
      </c>
      <c r="P455" s="180" t="s">
        <v>924</v>
      </c>
      <c r="Q455" s="185">
        <v>24</v>
      </c>
      <c r="R455" s="183"/>
      <c r="S455" s="185">
        <v>0</v>
      </c>
      <c r="T455" s="185">
        <v>33.439999999999998</v>
      </c>
    </row>
    <row r="456" ht="14.25">
      <c r="M456" s="184">
        <v>45412</v>
      </c>
      <c r="N456" s="180"/>
      <c r="O456" s="180" t="s">
        <v>531</v>
      </c>
      <c r="P456" s="180" t="s">
        <v>922</v>
      </c>
      <c r="Q456" s="185">
        <v>0.26000000000000001</v>
      </c>
      <c r="R456" s="183"/>
      <c r="S456" s="185">
        <v>0</v>
      </c>
      <c r="T456" s="185">
        <v>33.700000000000003</v>
      </c>
    </row>
    <row r="457" ht="14.25">
      <c r="M457" s="184">
        <v>45412</v>
      </c>
      <c r="N457" s="180"/>
      <c r="O457" s="180" t="s">
        <v>531</v>
      </c>
      <c r="P457" s="180" t="s">
        <v>925</v>
      </c>
      <c r="Q457" s="185">
        <v>0.40000000000000002</v>
      </c>
      <c r="R457" s="183"/>
      <c r="S457" s="185">
        <v>0</v>
      </c>
      <c r="T457" s="185">
        <v>34.100000000000001</v>
      </c>
    </row>
    <row r="458" ht="14.25">
      <c r="M458" s="184">
        <v>45421</v>
      </c>
      <c r="N458" s="180"/>
      <c r="O458" s="180" t="s">
        <v>531</v>
      </c>
      <c r="P458" s="180" t="s">
        <v>925</v>
      </c>
      <c r="Q458" s="185">
        <v>1</v>
      </c>
      <c r="R458" s="183"/>
      <c r="S458" s="185">
        <v>0</v>
      </c>
      <c r="T458" s="185">
        <v>35.100000000000001</v>
      </c>
    </row>
    <row r="459" ht="14.25">
      <c r="M459" s="184">
        <v>45427</v>
      </c>
      <c r="N459" s="180"/>
      <c r="O459" s="180" t="s">
        <v>531</v>
      </c>
      <c r="P459" s="180" t="s">
        <v>926</v>
      </c>
      <c r="Q459" s="185">
        <v>1.28</v>
      </c>
      <c r="R459" s="183"/>
      <c r="S459" s="185">
        <v>0</v>
      </c>
      <c r="T459" s="185">
        <v>36.380000000000003</v>
      </c>
    </row>
    <row r="460" ht="14.25">
      <c r="M460" s="184">
        <v>45443</v>
      </c>
      <c r="N460" s="180"/>
      <c r="O460" s="180" t="s">
        <v>531</v>
      </c>
      <c r="P460" s="180" t="s">
        <v>925</v>
      </c>
      <c r="Q460" s="185">
        <v>0.38</v>
      </c>
      <c r="R460" s="183"/>
      <c r="S460" s="185">
        <v>0</v>
      </c>
      <c r="T460" s="185">
        <v>36.759999999999998</v>
      </c>
    </row>
    <row r="461" ht="14.25">
      <c r="M461" s="184">
        <v>45460</v>
      </c>
      <c r="N461" s="180"/>
      <c r="O461" s="180" t="s">
        <v>531</v>
      </c>
      <c r="P461" s="180" t="s">
        <v>923</v>
      </c>
      <c r="Q461" s="185">
        <v>1.1100000000000001</v>
      </c>
      <c r="R461" s="183"/>
      <c r="S461" s="185">
        <v>0</v>
      </c>
      <c r="T461" s="185">
        <v>37.869999999999997</v>
      </c>
    </row>
    <row r="462" ht="14.25">
      <c r="M462" s="184">
        <v>45473</v>
      </c>
      <c r="N462" s="180"/>
      <c r="O462" s="180" t="s">
        <v>531</v>
      </c>
      <c r="P462" s="180" t="s">
        <v>927</v>
      </c>
      <c r="Q462" s="185">
        <v>0.089999999999999997</v>
      </c>
      <c r="R462" s="183"/>
      <c r="S462" s="185">
        <v>0</v>
      </c>
      <c r="T462" s="185">
        <v>37.960000000000001</v>
      </c>
    </row>
    <row r="463" ht="14.25">
      <c r="M463" s="184">
        <v>45473</v>
      </c>
      <c r="N463" s="180"/>
      <c r="O463" s="180" t="s">
        <v>531</v>
      </c>
      <c r="P463" s="180" t="s">
        <v>928</v>
      </c>
      <c r="Q463" s="185">
        <v>9</v>
      </c>
      <c r="R463" s="183"/>
      <c r="S463" s="185">
        <v>0</v>
      </c>
      <c r="T463" s="185">
        <v>46.960000000000001</v>
      </c>
    </row>
    <row r="464" ht="14.25">
      <c r="M464" s="184">
        <v>45488</v>
      </c>
      <c r="N464" s="180"/>
      <c r="O464" s="180" t="s">
        <v>531</v>
      </c>
      <c r="P464" s="180" t="s">
        <v>926</v>
      </c>
      <c r="Q464" s="185">
        <v>2.2999999999999998</v>
      </c>
      <c r="R464" s="183"/>
      <c r="S464" s="185">
        <v>0</v>
      </c>
      <c r="T464" s="185">
        <v>49.259999999999998</v>
      </c>
    </row>
    <row r="465" ht="14.25">
      <c r="M465" s="184">
        <v>45520</v>
      </c>
      <c r="N465" s="180"/>
      <c r="O465" s="180" t="s">
        <v>531</v>
      </c>
      <c r="P465" s="180" t="s">
        <v>926</v>
      </c>
      <c r="Q465" s="185">
        <v>2.1800000000000002</v>
      </c>
      <c r="R465" s="183"/>
      <c r="S465" s="185">
        <v>0</v>
      </c>
      <c r="T465" s="185">
        <v>51.439999999999998</v>
      </c>
    </row>
    <row r="466" ht="14.25">
      <c r="M466" s="184">
        <v>45535</v>
      </c>
      <c r="N466" s="180"/>
      <c r="O466" s="180" t="s">
        <v>531</v>
      </c>
      <c r="P466" s="180" t="s">
        <v>925</v>
      </c>
      <c r="Q466" s="185">
        <v>0.45000000000000001</v>
      </c>
      <c r="R466" s="183"/>
      <c r="S466" s="185">
        <v>0</v>
      </c>
      <c r="T466" s="185">
        <v>51.890000000000001</v>
      </c>
    </row>
    <row r="467" ht="14.25">
      <c r="M467" s="184">
        <v>45551</v>
      </c>
      <c r="N467" s="180"/>
      <c r="O467" s="180" t="s">
        <v>531</v>
      </c>
      <c r="P467" s="180" t="s">
        <v>926</v>
      </c>
      <c r="Q467" s="185">
        <v>0.40000000000000002</v>
      </c>
      <c r="R467" s="183"/>
      <c r="S467" s="185">
        <v>0</v>
      </c>
      <c r="T467" s="185">
        <v>52.289999999999999</v>
      </c>
    </row>
    <row r="468" ht="14.25">
      <c r="M468" s="184">
        <v>45595</v>
      </c>
      <c r="N468" s="180"/>
      <c r="O468" s="180" t="s">
        <v>531</v>
      </c>
      <c r="P468" s="180" t="s">
        <v>925</v>
      </c>
      <c r="Q468" s="185">
        <v>0.26000000000000001</v>
      </c>
      <c r="R468" s="183"/>
      <c r="S468" s="185">
        <v>0</v>
      </c>
      <c r="T468" s="185">
        <v>52.549999999999997</v>
      </c>
    </row>
    <row r="469" ht="14.25">
      <c r="M469" s="184">
        <v>45596</v>
      </c>
      <c r="N469" s="180"/>
      <c r="O469" s="180" t="s">
        <v>531</v>
      </c>
      <c r="P469" s="180" t="s">
        <v>929</v>
      </c>
      <c r="Q469" s="185">
        <v>0.080000000000000002</v>
      </c>
      <c r="R469" s="183"/>
      <c r="S469" s="185">
        <v>0</v>
      </c>
      <c r="T469" s="185">
        <v>52.630000000000003</v>
      </c>
    </row>
    <row r="470" ht="14.25">
      <c r="M470" s="186" t="s">
        <v>242</v>
      </c>
      <c r="N470" s="180"/>
      <c r="O470" s="180"/>
      <c r="P470" s="180"/>
      <c r="Q470" s="185">
        <v>52.630000000000003</v>
      </c>
      <c r="R470" s="183"/>
      <c r="S470" s="185">
        <v>0</v>
      </c>
      <c r="T470" s="185">
        <v>52.630000000000003</v>
      </c>
    </row>
    <row r="471" ht="14.25">
      <c r="M471" s="186" t="s">
        <v>930</v>
      </c>
      <c r="N471" s="181" t="s">
        <v>931</v>
      </c>
      <c r="O471" s="180"/>
      <c r="P471" s="180"/>
      <c r="Q471" s="180"/>
      <c r="R471" s="183"/>
      <c r="S471" s="180"/>
      <c r="T471" s="180"/>
    </row>
    <row r="472" ht="14.25">
      <c r="M472" s="184">
        <v>45293</v>
      </c>
      <c r="N472" s="180"/>
      <c r="O472" s="180" t="s">
        <v>529</v>
      </c>
      <c r="P472" s="180" t="s">
        <v>932</v>
      </c>
      <c r="Q472" s="185">
        <v>24.530000000000001</v>
      </c>
      <c r="R472" s="183"/>
      <c r="S472" s="185">
        <v>0</v>
      </c>
      <c r="T472" s="185">
        <v>24.530000000000001</v>
      </c>
    </row>
    <row r="473" ht="14.25">
      <c r="M473" s="184">
        <v>45385</v>
      </c>
      <c r="N473" s="180"/>
      <c r="O473" s="180" t="s">
        <v>529</v>
      </c>
      <c r="P473" s="180" t="s">
        <v>933</v>
      </c>
      <c r="Q473" s="185">
        <v>21.640000000000001</v>
      </c>
      <c r="R473" s="183"/>
      <c r="S473" s="185">
        <v>0</v>
      </c>
      <c r="T473" s="185">
        <v>46.170000000000002</v>
      </c>
    </row>
    <row r="474" ht="14.25">
      <c r="M474" s="186" t="s">
        <v>242</v>
      </c>
      <c r="N474" s="180"/>
      <c r="O474" s="180"/>
      <c r="P474" s="180"/>
      <c r="Q474" s="185">
        <v>46.170000000000002</v>
      </c>
      <c r="R474" s="183"/>
      <c r="S474" s="185">
        <v>0</v>
      </c>
      <c r="T474" s="185">
        <v>46.170000000000002</v>
      </c>
    </row>
    <row r="475" ht="14.25">
      <c r="M475" s="186" t="s">
        <v>549</v>
      </c>
      <c r="N475" s="180"/>
      <c r="O475" s="180"/>
      <c r="P475" s="180"/>
      <c r="Q475" s="185">
        <v>171794.54999999999</v>
      </c>
      <c r="R475" s="183"/>
      <c r="S475" s="185">
        <v>909.63999999999999</v>
      </c>
      <c r="T475" s="185">
        <v>170884.91</v>
      </c>
    </row>
    <row r="476" ht="14.25">
      <c r="M476" s="186" t="s">
        <v>934</v>
      </c>
      <c r="N476" s="181" t="s">
        <v>935</v>
      </c>
      <c r="O476" s="180"/>
      <c r="P476" s="180"/>
      <c r="Q476" s="180"/>
      <c r="R476" s="183"/>
      <c r="S476" s="180"/>
      <c r="T476" s="180"/>
    </row>
    <row r="477" ht="14.25">
      <c r="M477" s="184">
        <v>45292</v>
      </c>
      <c r="N477" s="180" t="s">
        <v>936</v>
      </c>
      <c r="O477" s="180" t="s">
        <v>512</v>
      </c>
      <c r="P477" s="180" t="s">
        <v>937</v>
      </c>
      <c r="Q477" s="185">
        <v>0</v>
      </c>
      <c r="R477" s="183"/>
      <c r="S477" s="185">
        <v>1800</v>
      </c>
      <c r="T477" s="185">
        <v>-1800</v>
      </c>
    </row>
    <row r="478" ht="14.25">
      <c r="M478" s="184">
        <v>45292</v>
      </c>
      <c r="N478" s="180" t="s">
        <v>936</v>
      </c>
      <c r="O478" s="180" t="s">
        <v>512</v>
      </c>
      <c r="P478" s="180" t="s">
        <v>938</v>
      </c>
      <c r="Q478" s="185">
        <v>0</v>
      </c>
      <c r="R478" s="183"/>
      <c r="S478" s="185">
        <v>1710</v>
      </c>
      <c r="T478" s="185">
        <v>-3510</v>
      </c>
    </row>
    <row r="479" ht="14.25">
      <c r="M479" s="184">
        <v>45292</v>
      </c>
      <c r="N479" s="180" t="s">
        <v>936</v>
      </c>
      <c r="O479" s="180" t="s">
        <v>512</v>
      </c>
      <c r="P479" s="180" t="s">
        <v>939</v>
      </c>
      <c r="Q479" s="185">
        <v>0</v>
      </c>
      <c r="R479" s="183"/>
      <c r="S479" s="185">
        <v>5130</v>
      </c>
      <c r="T479" s="185">
        <v>-8640</v>
      </c>
    </row>
    <row r="480" ht="14.25">
      <c r="M480" s="184">
        <v>45292</v>
      </c>
      <c r="N480" s="180" t="s">
        <v>936</v>
      </c>
      <c r="O480" s="180" t="s">
        <v>512</v>
      </c>
      <c r="P480" s="180" t="s">
        <v>939</v>
      </c>
      <c r="Q480" s="185">
        <v>0</v>
      </c>
      <c r="R480" s="183"/>
      <c r="S480" s="185">
        <v>5343.75</v>
      </c>
      <c r="T480" s="185">
        <v>-13983.75</v>
      </c>
    </row>
    <row r="481" ht="14.25">
      <c r="M481" s="184">
        <v>45292</v>
      </c>
      <c r="N481" s="180" t="s">
        <v>936</v>
      </c>
      <c r="O481" s="180" t="s">
        <v>512</v>
      </c>
      <c r="P481" s="180" t="s">
        <v>940</v>
      </c>
      <c r="Q481" s="185">
        <v>0</v>
      </c>
      <c r="R481" s="183"/>
      <c r="S481" s="185">
        <v>550</v>
      </c>
      <c r="T481" s="185">
        <v>-14533.75</v>
      </c>
    </row>
    <row r="482" ht="14.25">
      <c r="M482" s="184">
        <v>45292</v>
      </c>
      <c r="N482" s="180" t="s">
        <v>936</v>
      </c>
      <c r="O482" s="180" t="s">
        <v>512</v>
      </c>
      <c r="P482" s="180" t="s">
        <v>941</v>
      </c>
      <c r="Q482" s="185">
        <v>0</v>
      </c>
      <c r="R482" s="183"/>
      <c r="S482" s="185">
        <v>6412.5</v>
      </c>
      <c r="T482" s="185">
        <v>-20946.25</v>
      </c>
    </row>
    <row r="483" ht="14.25">
      <c r="M483" s="184">
        <v>45292</v>
      </c>
      <c r="N483" s="180" t="s">
        <v>936</v>
      </c>
      <c r="O483" s="180" t="s">
        <v>512</v>
      </c>
      <c r="P483" s="180" t="s">
        <v>939</v>
      </c>
      <c r="Q483" s="185">
        <v>0</v>
      </c>
      <c r="R483" s="183"/>
      <c r="S483" s="185">
        <v>6626.25</v>
      </c>
      <c r="T483" s="185">
        <v>-27572.5</v>
      </c>
    </row>
    <row r="484" ht="14.25">
      <c r="M484" s="184">
        <v>45292</v>
      </c>
      <c r="N484" s="180" t="s">
        <v>942</v>
      </c>
      <c r="O484" s="180" t="s">
        <v>512</v>
      </c>
      <c r="P484" s="180" t="s">
        <v>939</v>
      </c>
      <c r="Q484" s="185">
        <v>6975</v>
      </c>
      <c r="R484" s="183"/>
      <c r="S484" s="185">
        <v>0</v>
      </c>
      <c r="T484" s="185">
        <v>-20597.5</v>
      </c>
    </row>
    <row r="485" ht="14.25">
      <c r="M485" s="184">
        <v>45292</v>
      </c>
      <c r="N485" s="180" t="s">
        <v>942</v>
      </c>
      <c r="O485" s="180" t="s">
        <v>512</v>
      </c>
      <c r="P485" s="180" t="s">
        <v>939</v>
      </c>
      <c r="Q485" s="185">
        <v>6750</v>
      </c>
      <c r="R485" s="183"/>
      <c r="S485" s="185">
        <v>0</v>
      </c>
      <c r="T485" s="185">
        <v>-13847.5</v>
      </c>
    </row>
    <row r="486" ht="14.25">
      <c r="M486" s="184">
        <v>45292</v>
      </c>
      <c r="N486" s="180" t="s">
        <v>942</v>
      </c>
      <c r="O486" s="180" t="s">
        <v>512</v>
      </c>
      <c r="P486" s="180" t="s">
        <v>943</v>
      </c>
      <c r="Q486" s="185">
        <v>550</v>
      </c>
      <c r="R486" s="183"/>
      <c r="S486" s="185">
        <v>0</v>
      </c>
      <c r="T486" s="185">
        <v>-13297.5</v>
      </c>
    </row>
    <row r="487" ht="14.25">
      <c r="M487" s="184">
        <v>45292</v>
      </c>
      <c r="N487" s="180" t="s">
        <v>942</v>
      </c>
      <c r="O487" s="180" t="s">
        <v>512</v>
      </c>
      <c r="P487" s="180" t="s">
        <v>939</v>
      </c>
      <c r="Q487" s="185">
        <v>5625</v>
      </c>
      <c r="R487" s="183"/>
      <c r="S487" s="185">
        <v>0</v>
      </c>
      <c r="T487" s="185">
        <v>-7672.5</v>
      </c>
    </row>
    <row r="488" ht="14.25">
      <c r="M488" s="184">
        <v>45292</v>
      </c>
      <c r="N488" s="180" t="s">
        <v>942</v>
      </c>
      <c r="O488" s="180" t="s">
        <v>512</v>
      </c>
      <c r="P488" s="180" t="s">
        <v>939</v>
      </c>
      <c r="Q488" s="185">
        <v>5400</v>
      </c>
      <c r="R488" s="183"/>
      <c r="S488" s="185">
        <v>0</v>
      </c>
      <c r="T488" s="185">
        <v>-2272.5</v>
      </c>
    </row>
    <row r="489" ht="14.25">
      <c r="M489" s="184">
        <v>45292</v>
      </c>
      <c r="N489" s="180" t="s">
        <v>942</v>
      </c>
      <c r="O489" s="180" t="s">
        <v>512</v>
      </c>
      <c r="P489" s="180" t="s">
        <v>939</v>
      </c>
      <c r="Q489" s="185">
        <v>1800</v>
      </c>
      <c r="R489" s="183"/>
      <c r="S489" s="185">
        <v>0</v>
      </c>
      <c r="T489" s="185">
        <v>-472.5</v>
      </c>
    </row>
    <row r="490" ht="14.25">
      <c r="M490" s="184">
        <v>45292</v>
      </c>
      <c r="N490" s="180" t="s">
        <v>942</v>
      </c>
      <c r="O490" s="180" t="s">
        <v>512</v>
      </c>
      <c r="P490" s="180" t="s">
        <v>944</v>
      </c>
      <c r="Q490" s="185">
        <v>1200</v>
      </c>
      <c r="R490" s="183"/>
      <c r="S490" s="185">
        <v>0</v>
      </c>
      <c r="T490" s="185">
        <v>727.5</v>
      </c>
    </row>
    <row r="491" ht="14.25">
      <c r="M491" s="184">
        <v>45292</v>
      </c>
      <c r="N491" s="180" t="s">
        <v>942</v>
      </c>
      <c r="O491" s="180" t="s">
        <v>512</v>
      </c>
      <c r="P491" s="180" t="s">
        <v>944</v>
      </c>
      <c r="Q491" s="185">
        <v>600</v>
      </c>
      <c r="R491" s="183"/>
      <c r="S491" s="185">
        <v>0</v>
      </c>
      <c r="T491" s="185">
        <v>1327.5</v>
      </c>
    </row>
    <row r="492" ht="14.25">
      <c r="M492" s="184">
        <v>45296</v>
      </c>
      <c r="N492" s="185">
        <v>138</v>
      </c>
      <c r="O492" s="180" t="s">
        <v>536</v>
      </c>
      <c r="P492" s="180" t="s">
        <v>945</v>
      </c>
      <c r="Q492" s="185">
        <v>1710</v>
      </c>
      <c r="R492" s="183"/>
      <c r="S492" s="185">
        <v>0</v>
      </c>
      <c r="T492" s="185">
        <v>3037.5</v>
      </c>
    </row>
    <row r="493" ht="14.25">
      <c r="M493" s="184">
        <v>45296</v>
      </c>
      <c r="N493" s="185">
        <v>139</v>
      </c>
      <c r="O493" s="180" t="s">
        <v>536</v>
      </c>
      <c r="P493" s="180" t="s">
        <v>946</v>
      </c>
      <c r="Q493" s="185">
        <v>5130</v>
      </c>
      <c r="R493" s="183"/>
      <c r="S493" s="185">
        <v>0</v>
      </c>
      <c r="T493" s="185">
        <v>8167.5</v>
      </c>
    </row>
    <row r="494" ht="14.25">
      <c r="M494" s="184">
        <v>45296</v>
      </c>
      <c r="N494" s="185">
        <v>140</v>
      </c>
      <c r="O494" s="180" t="s">
        <v>536</v>
      </c>
      <c r="P494" s="180" t="s">
        <v>946</v>
      </c>
      <c r="Q494" s="185">
        <v>5343.75</v>
      </c>
      <c r="R494" s="183"/>
      <c r="S494" s="185">
        <v>0</v>
      </c>
      <c r="T494" s="185">
        <v>13511.25</v>
      </c>
    </row>
    <row r="495" ht="14.25">
      <c r="M495" s="184">
        <v>45296</v>
      </c>
      <c r="N495" s="185">
        <v>141</v>
      </c>
      <c r="O495" s="180" t="s">
        <v>536</v>
      </c>
      <c r="P495" s="180" t="s">
        <v>947</v>
      </c>
      <c r="Q495" s="185">
        <v>550</v>
      </c>
      <c r="R495" s="183"/>
      <c r="S495" s="185">
        <v>0</v>
      </c>
      <c r="T495" s="185">
        <v>14061.25</v>
      </c>
    </row>
    <row r="496" ht="14.25">
      <c r="M496" s="184">
        <v>45296</v>
      </c>
      <c r="N496" s="185">
        <v>142</v>
      </c>
      <c r="O496" s="180" t="s">
        <v>536</v>
      </c>
      <c r="P496" s="180" t="s">
        <v>948</v>
      </c>
      <c r="Q496" s="185">
        <v>6412.5</v>
      </c>
      <c r="R496" s="183"/>
      <c r="S496" s="185">
        <v>0</v>
      </c>
      <c r="T496" s="185">
        <v>20473.75</v>
      </c>
    </row>
    <row r="497" ht="14.25">
      <c r="M497" s="184">
        <v>45296</v>
      </c>
      <c r="N497" s="185">
        <v>143</v>
      </c>
      <c r="O497" s="180" t="s">
        <v>536</v>
      </c>
      <c r="P497" s="180" t="s">
        <v>946</v>
      </c>
      <c r="Q497" s="185">
        <v>6626.25</v>
      </c>
      <c r="R497" s="183"/>
      <c r="S497" s="185">
        <v>0</v>
      </c>
      <c r="T497" s="185">
        <v>27100</v>
      </c>
    </row>
    <row r="498" ht="14.25">
      <c r="M498" s="184">
        <v>45296</v>
      </c>
      <c r="N498" s="185">
        <v>144</v>
      </c>
      <c r="O498" s="180" t="s">
        <v>536</v>
      </c>
      <c r="P498" s="180" t="s">
        <v>946</v>
      </c>
      <c r="Q498" s="185">
        <v>0</v>
      </c>
      <c r="R498" s="183"/>
      <c r="S498" s="185">
        <v>6975</v>
      </c>
      <c r="T498" s="185">
        <v>20125</v>
      </c>
    </row>
    <row r="499" ht="14.25">
      <c r="M499" s="184">
        <v>45296</v>
      </c>
      <c r="N499" s="185">
        <v>145</v>
      </c>
      <c r="O499" s="180" t="s">
        <v>536</v>
      </c>
      <c r="P499" s="180" t="s">
        <v>946</v>
      </c>
      <c r="Q499" s="185">
        <v>0</v>
      </c>
      <c r="R499" s="183"/>
      <c r="S499" s="185">
        <v>6750</v>
      </c>
      <c r="T499" s="185">
        <v>13375</v>
      </c>
    </row>
    <row r="500" ht="14.25">
      <c r="M500" s="184">
        <v>45296</v>
      </c>
      <c r="N500" s="185">
        <v>146</v>
      </c>
      <c r="O500" s="180" t="s">
        <v>536</v>
      </c>
      <c r="P500" s="180" t="s">
        <v>949</v>
      </c>
      <c r="Q500" s="185">
        <v>0</v>
      </c>
      <c r="R500" s="183"/>
      <c r="S500" s="185">
        <v>550</v>
      </c>
      <c r="T500" s="185">
        <v>12825</v>
      </c>
    </row>
    <row r="501" ht="14.25">
      <c r="M501" s="184">
        <v>45296</v>
      </c>
      <c r="N501" s="185">
        <v>147</v>
      </c>
      <c r="O501" s="180" t="s">
        <v>536</v>
      </c>
      <c r="P501" s="180" t="s">
        <v>946</v>
      </c>
      <c r="Q501" s="185">
        <v>0</v>
      </c>
      <c r="R501" s="183"/>
      <c r="S501" s="185">
        <v>5625</v>
      </c>
      <c r="T501" s="185">
        <v>7200</v>
      </c>
    </row>
    <row r="502" ht="14.25">
      <c r="M502" s="184">
        <v>45296</v>
      </c>
      <c r="N502" s="185">
        <v>148</v>
      </c>
      <c r="O502" s="180" t="s">
        <v>536</v>
      </c>
      <c r="P502" s="180" t="s">
        <v>946</v>
      </c>
      <c r="Q502" s="185">
        <v>0</v>
      </c>
      <c r="R502" s="183"/>
      <c r="S502" s="185">
        <v>5400</v>
      </c>
      <c r="T502" s="185">
        <v>1800</v>
      </c>
    </row>
    <row r="503" ht="14.25">
      <c r="M503" s="184">
        <v>45296</v>
      </c>
      <c r="N503" s="185">
        <v>149</v>
      </c>
      <c r="O503" s="180" t="s">
        <v>536</v>
      </c>
      <c r="P503" s="180" t="s">
        <v>946</v>
      </c>
      <c r="Q503" s="185">
        <v>0</v>
      </c>
      <c r="R503" s="183"/>
      <c r="S503" s="185">
        <v>1800</v>
      </c>
      <c r="T503" s="185">
        <v>0</v>
      </c>
    </row>
    <row r="504" ht="14.25">
      <c r="M504" s="184">
        <v>45296</v>
      </c>
      <c r="N504" s="185">
        <v>151</v>
      </c>
      <c r="O504" s="180" t="s">
        <v>536</v>
      </c>
      <c r="P504" s="180" t="s">
        <v>950</v>
      </c>
      <c r="Q504" s="185">
        <v>0</v>
      </c>
      <c r="R504" s="183"/>
      <c r="S504" s="185">
        <v>660</v>
      </c>
      <c r="T504" s="185">
        <v>-660</v>
      </c>
    </row>
    <row r="505" ht="14.25">
      <c r="M505" s="184">
        <v>45297</v>
      </c>
      <c r="N505" s="185">
        <v>152</v>
      </c>
      <c r="O505" s="180" t="s">
        <v>536</v>
      </c>
      <c r="P505" s="180" t="s">
        <v>950</v>
      </c>
      <c r="Q505" s="185">
        <v>0</v>
      </c>
      <c r="R505" s="183"/>
      <c r="S505" s="185">
        <v>1180</v>
      </c>
      <c r="T505" s="185">
        <v>-1840</v>
      </c>
    </row>
    <row r="506" ht="14.25">
      <c r="M506" s="184">
        <v>45306</v>
      </c>
      <c r="N506" s="185">
        <v>153</v>
      </c>
      <c r="O506" s="180" t="s">
        <v>536</v>
      </c>
      <c r="P506" s="180" t="s">
        <v>951</v>
      </c>
      <c r="Q506" s="185">
        <v>1800</v>
      </c>
      <c r="R506" s="183"/>
      <c r="S506" s="185">
        <v>0</v>
      </c>
      <c r="T506" s="185">
        <v>-40</v>
      </c>
    </row>
    <row r="507" ht="14.25">
      <c r="M507" s="184">
        <v>45306</v>
      </c>
      <c r="N507" s="185">
        <v>154</v>
      </c>
      <c r="O507" s="180" t="s">
        <v>536</v>
      </c>
      <c r="P507" s="180" t="s">
        <v>952</v>
      </c>
      <c r="Q507" s="185">
        <v>0</v>
      </c>
      <c r="R507" s="183"/>
      <c r="S507" s="185">
        <v>1200</v>
      </c>
      <c r="T507" s="185">
        <v>-1240</v>
      </c>
    </row>
    <row r="508" ht="14.25">
      <c r="M508" s="184">
        <v>45306</v>
      </c>
      <c r="N508" s="185">
        <v>155</v>
      </c>
      <c r="O508" s="180" t="s">
        <v>536</v>
      </c>
      <c r="P508" s="180" t="s">
        <v>952</v>
      </c>
      <c r="Q508" s="185">
        <v>0</v>
      </c>
      <c r="R508" s="183"/>
      <c r="S508" s="185">
        <v>600</v>
      </c>
      <c r="T508" s="185">
        <v>-1840</v>
      </c>
    </row>
    <row r="509" ht="14.25">
      <c r="M509" s="184">
        <v>45314</v>
      </c>
      <c r="N509" s="185">
        <v>158</v>
      </c>
      <c r="O509" s="180" t="s">
        <v>536</v>
      </c>
      <c r="P509" s="180" t="s">
        <v>953</v>
      </c>
      <c r="Q509" s="185">
        <v>0</v>
      </c>
      <c r="R509" s="183"/>
      <c r="S509" s="185">
        <v>930</v>
      </c>
      <c r="T509" s="185">
        <v>-2770</v>
      </c>
    </row>
    <row r="510" ht="14.25">
      <c r="M510" s="184">
        <v>45321</v>
      </c>
      <c r="N510" s="185">
        <v>161</v>
      </c>
      <c r="O510" s="180" t="s">
        <v>536</v>
      </c>
      <c r="P510" s="180" t="s">
        <v>954</v>
      </c>
      <c r="Q510" s="185">
        <v>0</v>
      </c>
      <c r="R510" s="183"/>
      <c r="S510" s="185">
        <v>900</v>
      </c>
      <c r="T510" s="185">
        <v>-3670</v>
      </c>
    </row>
    <row r="511" ht="14.25">
      <c r="M511" s="184">
        <v>45322</v>
      </c>
      <c r="N511" s="185">
        <v>162</v>
      </c>
      <c r="O511" s="180" t="s">
        <v>536</v>
      </c>
      <c r="P511" s="180" t="s">
        <v>955</v>
      </c>
      <c r="Q511" s="185">
        <v>0</v>
      </c>
      <c r="R511" s="183"/>
      <c r="S511" s="185">
        <v>7500</v>
      </c>
      <c r="T511" s="185">
        <v>-11170</v>
      </c>
    </row>
    <row r="512" ht="14.25">
      <c r="M512" s="184">
        <v>45327</v>
      </c>
      <c r="N512" s="185">
        <v>163</v>
      </c>
      <c r="O512" s="180" t="s">
        <v>536</v>
      </c>
      <c r="P512" s="180" t="s">
        <v>956</v>
      </c>
      <c r="Q512" s="185">
        <v>0</v>
      </c>
      <c r="R512" s="183"/>
      <c r="S512" s="185">
        <v>840</v>
      </c>
      <c r="T512" s="185">
        <v>-12010</v>
      </c>
    </row>
    <row r="513" ht="14.25">
      <c r="M513" s="184">
        <v>45327</v>
      </c>
      <c r="N513" s="185">
        <v>164</v>
      </c>
      <c r="O513" s="180" t="s">
        <v>536</v>
      </c>
      <c r="P513" s="180" t="s">
        <v>957</v>
      </c>
      <c r="Q513" s="185">
        <v>0</v>
      </c>
      <c r="R513" s="183"/>
      <c r="S513" s="185">
        <v>790</v>
      </c>
      <c r="T513" s="185">
        <v>-12800</v>
      </c>
    </row>
    <row r="514" ht="14.25">
      <c r="M514" s="184">
        <v>45348</v>
      </c>
      <c r="N514" s="185">
        <v>168</v>
      </c>
      <c r="O514" s="180" t="s">
        <v>536</v>
      </c>
      <c r="P514" s="180" t="s">
        <v>958</v>
      </c>
      <c r="Q514" s="185">
        <v>0</v>
      </c>
      <c r="R514" s="183"/>
      <c r="S514" s="185">
        <v>855</v>
      </c>
      <c r="T514" s="185">
        <v>-13655</v>
      </c>
    </row>
    <row r="515" ht="14.25">
      <c r="M515" s="184">
        <v>45349</v>
      </c>
      <c r="N515" s="185">
        <v>169</v>
      </c>
      <c r="O515" s="180" t="s">
        <v>536</v>
      </c>
      <c r="P515" s="180" t="s">
        <v>959</v>
      </c>
      <c r="Q515" s="185">
        <v>0</v>
      </c>
      <c r="R515" s="183"/>
      <c r="S515" s="185">
        <v>600</v>
      </c>
      <c r="T515" s="185">
        <v>-14255</v>
      </c>
    </row>
    <row r="516" ht="14.25">
      <c r="M516" s="184">
        <v>45351</v>
      </c>
      <c r="N516" s="185">
        <v>171</v>
      </c>
      <c r="O516" s="180" t="s">
        <v>536</v>
      </c>
      <c r="P516" s="180" t="s">
        <v>960</v>
      </c>
      <c r="Q516" s="185">
        <v>0</v>
      </c>
      <c r="R516" s="183"/>
      <c r="S516" s="185">
        <v>7500</v>
      </c>
      <c r="T516" s="185">
        <v>-21755</v>
      </c>
    </row>
    <row r="517" ht="14.25">
      <c r="M517" s="184">
        <v>45356</v>
      </c>
      <c r="N517" s="185">
        <v>172</v>
      </c>
      <c r="O517" s="180" t="s">
        <v>536</v>
      </c>
      <c r="P517" s="180" t="s">
        <v>961</v>
      </c>
      <c r="Q517" s="185">
        <v>0</v>
      </c>
      <c r="R517" s="183"/>
      <c r="S517" s="185">
        <v>880</v>
      </c>
      <c r="T517" s="185">
        <v>-22635</v>
      </c>
    </row>
    <row r="518" ht="14.25">
      <c r="M518" s="184">
        <v>45356</v>
      </c>
      <c r="N518" s="185">
        <v>173</v>
      </c>
      <c r="O518" s="180" t="s">
        <v>536</v>
      </c>
      <c r="P518" s="180" t="s">
        <v>956</v>
      </c>
      <c r="Q518" s="185">
        <v>0</v>
      </c>
      <c r="R518" s="183"/>
      <c r="S518" s="185">
        <v>880</v>
      </c>
      <c r="T518" s="185">
        <v>-23515</v>
      </c>
    </row>
    <row r="519" ht="14.25">
      <c r="M519" s="184">
        <v>45359</v>
      </c>
      <c r="N519" s="185">
        <v>174</v>
      </c>
      <c r="O519" s="180" t="s">
        <v>536</v>
      </c>
      <c r="P519" s="180" t="s">
        <v>962</v>
      </c>
      <c r="Q519" s="185">
        <v>0</v>
      </c>
      <c r="R519" s="183"/>
      <c r="S519" s="185">
        <v>1000</v>
      </c>
      <c r="T519" s="185">
        <v>-24515</v>
      </c>
    </row>
    <row r="520" ht="14.25">
      <c r="M520" s="184">
        <v>45364</v>
      </c>
      <c r="N520" s="185">
        <v>177</v>
      </c>
      <c r="O520" s="180" t="s">
        <v>536</v>
      </c>
      <c r="P520" s="180" t="s">
        <v>963</v>
      </c>
      <c r="Q520" s="185">
        <v>0</v>
      </c>
      <c r="R520" s="183"/>
      <c r="S520" s="185">
        <v>300</v>
      </c>
      <c r="T520" s="185">
        <v>-24815</v>
      </c>
    </row>
    <row r="521" ht="14.25">
      <c r="M521" s="184">
        <v>45373</v>
      </c>
      <c r="N521" s="185">
        <v>178</v>
      </c>
      <c r="O521" s="180" t="s">
        <v>536</v>
      </c>
      <c r="P521" s="180" t="s">
        <v>964</v>
      </c>
      <c r="Q521" s="185">
        <v>0</v>
      </c>
      <c r="R521" s="183"/>
      <c r="S521" s="185">
        <v>1065</v>
      </c>
      <c r="T521" s="185">
        <v>-25880</v>
      </c>
    </row>
    <row r="522" ht="14.25">
      <c r="M522" s="184">
        <v>45380</v>
      </c>
      <c r="N522" s="185">
        <v>180</v>
      </c>
      <c r="O522" s="180" t="s">
        <v>536</v>
      </c>
      <c r="P522" s="180" t="s">
        <v>955</v>
      </c>
      <c r="Q522" s="185">
        <v>0</v>
      </c>
      <c r="R522" s="183"/>
      <c r="S522" s="185">
        <v>7000</v>
      </c>
      <c r="T522" s="185">
        <v>-32880</v>
      </c>
    </row>
    <row r="523" ht="14.25">
      <c r="M523" s="184">
        <v>45384</v>
      </c>
      <c r="N523" s="185">
        <v>182</v>
      </c>
      <c r="O523" s="180" t="s">
        <v>536</v>
      </c>
      <c r="P523" s="180" t="s">
        <v>965</v>
      </c>
      <c r="Q523" s="185">
        <v>0</v>
      </c>
      <c r="R523" s="183"/>
      <c r="S523" s="185">
        <v>7300</v>
      </c>
      <c r="T523" s="185">
        <v>-40180</v>
      </c>
    </row>
    <row r="524" ht="14.25">
      <c r="M524" s="184">
        <v>45384</v>
      </c>
      <c r="N524" s="185">
        <v>185</v>
      </c>
      <c r="O524" s="180" t="s">
        <v>536</v>
      </c>
      <c r="P524" s="180" t="s">
        <v>966</v>
      </c>
      <c r="Q524" s="185">
        <v>0</v>
      </c>
      <c r="R524" s="183"/>
      <c r="S524" s="185">
        <v>2400</v>
      </c>
      <c r="T524" s="185">
        <v>-42580</v>
      </c>
    </row>
    <row r="525" ht="14.25">
      <c r="M525" s="184">
        <v>45384</v>
      </c>
      <c r="N525" s="185">
        <v>186</v>
      </c>
      <c r="O525" s="180" t="s">
        <v>536</v>
      </c>
      <c r="P525" s="180" t="s">
        <v>967</v>
      </c>
      <c r="Q525" s="185">
        <v>0</v>
      </c>
      <c r="R525" s="183"/>
      <c r="S525" s="185">
        <v>47221</v>
      </c>
      <c r="T525" s="185">
        <v>-89801</v>
      </c>
    </row>
    <row r="526" ht="14.25">
      <c r="M526" s="184">
        <v>45384</v>
      </c>
      <c r="N526" s="185">
        <v>188</v>
      </c>
      <c r="O526" s="180" t="s">
        <v>536</v>
      </c>
      <c r="P526" s="180" t="s">
        <v>968</v>
      </c>
      <c r="Q526" s="185">
        <v>0</v>
      </c>
      <c r="R526" s="183"/>
      <c r="S526" s="185">
        <v>650</v>
      </c>
      <c r="T526" s="185">
        <v>-90451</v>
      </c>
    </row>
    <row r="527" ht="14.25">
      <c r="M527" s="184">
        <v>45388</v>
      </c>
      <c r="N527" s="185">
        <v>190</v>
      </c>
      <c r="O527" s="180" t="s">
        <v>536</v>
      </c>
      <c r="P527" s="180" t="s">
        <v>950</v>
      </c>
      <c r="Q527" s="185">
        <v>0</v>
      </c>
      <c r="R527" s="183"/>
      <c r="S527" s="185">
        <v>620.89999999999998</v>
      </c>
      <c r="T527" s="185">
        <v>-91071.899999999994</v>
      </c>
    </row>
    <row r="528" ht="14.25">
      <c r="M528" s="184">
        <v>45390</v>
      </c>
      <c r="N528" s="185">
        <v>191</v>
      </c>
      <c r="O528" s="180" t="s">
        <v>536</v>
      </c>
      <c r="P528" s="180" t="s">
        <v>956</v>
      </c>
      <c r="Q528" s="185">
        <v>0</v>
      </c>
      <c r="R528" s="183"/>
      <c r="S528" s="185">
        <v>596</v>
      </c>
      <c r="T528" s="185">
        <v>-91667.899999999994</v>
      </c>
    </row>
    <row r="529" ht="14.25">
      <c r="M529" s="184">
        <v>45410</v>
      </c>
      <c r="N529" s="185">
        <v>194</v>
      </c>
      <c r="O529" s="180" t="s">
        <v>536</v>
      </c>
      <c r="P529" s="180" t="s">
        <v>969</v>
      </c>
      <c r="Q529" s="185">
        <v>0</v>
      </c>
      <c r="R529" s="183"/>
      <c r="S529" s="185">
        <v>825</v>
      </c>
      <c r="T529" s="185">
        <v>-92492.899999999994</v>
      </c>
    </row>
    <row r="530" ht="14.25">
      <c r="M530" s="184">
        <v>45412</v>
      </c>
      <c r="N530" s="185">
        <v>195</v>
      </c>
      <c r="O530" s="180" t="s">
        <v>536</v>
      </c>
      <c r="P530" s="180" t="s">
        <v>960</v>
      </c>
      <c r="Q530" s="185">
        <v>0</v>
      </c>
      <c r="R530" s="183"/>
      <c r="S530" s="185">
        <v>6500</v>
      </c>
      <c r="T530" s="185">
        <v>-98992.899999999994</v>
      </c>
    </row>
    <row r="531" ht="14.25">
      <c r="M531" s="184">
        <v>45412</v>
      </c>
      <c r="N531" s="185">
        <v>196</v>
      </c>
      <c r="O531" s="180" t="s">
        <v>536</v>
      </c>
      <c r="P531" s="180" t="s">
        <v>970</v>
      </c>
      <c r="Q531" s="185">
        <v>0</v>
      </c>
      <c r="R531" s="183"/>
      <c r="S531" s="185">
        <v>410.60000000000002</v>
      </c>
      <c r="T531" s="185">
        <v>-99403.5</v>
      </c>
    </row>
    <row r="532" ht="14.25">
      <c r="M532" s="184">
        <v>45418</v>
      </c>
      <c r="N532" s="185">
        <v>197</v>
      </c>
      <c r="O532" s="180" t="s">
        <v>536</v>
      </c>
      <c r="P532" s="180" t="s">
        <v>950</v>
      </c>
      <c r="Q532" s="185">
        <v>0</v>
      </c>
      <c r="R532" s="183"/>
      <c r="S532" s="185">
        <v>200</v>
      </c>
      <c r="T532" s="185">
        <v>-99603.5</v>
      </c>
    </row>
    <row r="533" ht="14.25">
      <c r="M533" s="184">
        <v>45418</v>
      </c>
      <c r="N533" s="185">
        <v>198</v>
      </c>
      <c r="O533" s="180" t="s">
        <v>536</v>
      </c>
      <c r="P533" s="180" t="s">
        <v>971</v>
      </c>
      <c r="Q533" s="185">
        <v>0</v>
      </c>
      <c r="R533" s="183"/>
      <c r="S533" s="185">
        <v>1080</v>
      </c>
      <c r="T533" s="185">
        <v>-100683.5</v>
      </c>
    </row>
    <row r="534" ht="14.25">
      <c r="M534" s="184">
        <v>45443</v>
      </c>
      <c r="N534" s="185">
        <v>200</v>
      </c>
      <c r="O534" s="180" t="s">
        <v>536</v>
      </c>
      <c r="P534" s="180" t="s">
        <v>972</v>
      </c>
      <c r="Q534" s="185">
        <v>0</v>
      </c>
      <c r="R534" s="183"/>
      <c r="S534" s="185">
        <v>7500</v>
      </c>
      <c r="T534" s="185">
        <v>-108183.5</v>
      </c>
    </row>
    <row r="535" ht="14.25">
      <c r="M535" s="184">
        <v>45448</v>
      </c>
      <c r="N535" s="185">
        <v>203</v>
      </c>
      <c r="O535" s="180" t="s">
        <v>536</v>
      </c>
      <c r="P535" s="180" t="s">
        <v>973</v>
      </c>
      <c r="Q535" s="185">
        <v>0</v>
      </c>
      <c r="R535" s="183"/>
      <c r="S535" s="185">
        <v>355</v>
      </c>
      <c r="T535" s="185">
        <v>-108538.5</v>
      </c>
    </row>
    <row r="536" ht="14.25">
      <c r="M536" s="184">
        <v>45448</v>
      </c>
      <c r="N536" s="185">
        <v>204</v>
      </c>
      <c r="O536" s="180" t="s">
        <v>536</v>
      </c>
      <c r="P536" s="180" t="s">
        <v>974</v>
      </c>
      <c r="Q536" s="185">
        <v>0</v>
      </c>
      <c r="R536" s="183"/>
      <c r="S536" s="185">
        <v>650.20000000000005</v>
      </c>
      <c r="T536" s="185">
        <v>-109188.7</v>
      </c>
    </row>
    <row r="537" ht="14.25">
      <c r="M537" s="184">
        <v>45450</v>
      </c>
      <c r="N537" s="185">
        <v>206</v>
      </c>
      <c r="O537" s="180" t="s">
        <v>536</v>
      </c>
      <c r="P537" s="180" t="s">
        <v>975</v>
      </c>
      <c r="Q537" s="185">
        <v>0</v>
      </c>
      <c r="R537" s="183"/>
      <c r="S537" s="185">
        <v>2296</v>
      </c>
      <c r="T537" s="185">
        <v>-111484.7</v>
      </c>
    </row>
    <row r="538" ht="14.25">
      <c r="M538" s="184">
        <v>45468</v>
      </c>
      <c r="N538" s="185">
        <v>208</v>
      </c>
      <c r="O538" s="180" t="s">
        <v>536</v>
      </c>
      <c r="P538" s="180" t="s">
        <v>976</v>
      </c>
      <c r="Q538" s="185">
        <v>0</v>
      </c>
      <c r="R538" s="183"/>
      <c r="S538" s="185">
        <v>300</v>
      </c>
      <c r="T538" s="185">
        <v>-111784.7</v>
      </c>
    </row>
    <row r="539" ht="14.25">
      <c r="M539" s="184">
        <v>45470</v>
      </c>
      <c r="N539" s="185">
        <v>209</v>
      </c>
      <c r="O539" s="180" t="s">
        <v>536</v>
      </c>
      <c r="P539" s="180" t="s">
        <v>977</v>
      </c>
      <c r="Q539" s="185">
        <v>0</v>
      </c>
      <c r="R539" s="183"/>
      <c r="S539" s="185">
        <v>7500</v>
      </c>
      <c r="T539" s="185">
        <v>-119284.7</v>
      </c>
    </row>
    <row r="540" ht="14.25">
      <c r="M540" s="184">
        <v>45478</v>
      </c>
      <c r="N540" s="185">
        <v>212</v>
      </c>
      <c r="O540" s="180" t="s">
        <v>536</v>
      </c>
      <c r="P540" s="180" t="s">
        <v>978</v>
      </c>
      <c r="Q540" s="185">
        <v>0</v>
      </c>
      <c r="R540" s="183"/>
      <c r="S540" s="185">
        <v>287.5</v>
      </c>
      <c r="T540" s="185">
        <v>-119572.2</v>
      </c>
    </row>
    <row r="541" ht="14.25">
      <c r="M541" s="184">
        <v>45478</v>
      </c>
      <c r="N541" s="185">
        <v>213</v>
      </c>
      <c r="O541" s="180" t="s">
        <v>536</v>
      </c>
      <c r="P541" s="180" t="s">
        <v>979</v>
      </c>
      <c r="Q541" s="185">
        <v>0</v>
      </c>
      <c r="R541" s="183"/>
      <c r="S541" s="185">
        <v>584.79999999999995</v>
      </c>
      <c r="T541" s="185">
        <v>-120157</v>
      </c>
    </row>
    <row r="542" ht="14.25">
      <c r="M542" s="184">
        <v>45479</v>
      </c>
      <c r="N542" s="185">
        <v>214</v>
      </c>
      <c r="O542" s="180" t="s">
        <v>536</v>
      </c>
      <c r="P542" s="180" t="s">
        <v>980</v>
      </c>
      <c r="Q542" s="185">
        <v>0</v>
      </c>
      <c r="R542" s="183"/>
      <c r="S542" s="185">
        <v>500</v>
      </c>
      <c r="T542" s="185">
        <v>-120657</v>
      </c>
    </row>
    <row r="543" ht="14.25">
      <c r="M543" s="184">
        <v>45485</v>
      </c>
      <c r="N543" s="185">
        <v>215</v>
      </c>
      <c r="O543" s="180" t="s">
        <v>536</v>
      </c>
      <c r="P543" s="180" t="s">
        <v>981</v>
      </c>
      <c r="Q543" s="185">
        <v>0</v>
      </c>
      <c r="R543" s="183"/>
      <c r="S543" s="185">
        <v>250</v>
      </c>
      <c r="T543" s="185">
        <v>-120907</v>
      </c>
    </row>
    <row r="544" ht="14.25">
      <c r="M544" s="184">
        <v>45497</v>
      </c>
      <c r="N544" s="185">
        <v>218</v>
      </c>
      <c r="O544" s="180" t="s">
        <v>536</v>
      </c>
      <c r="P544" s="180" t="s">
        <v>982</v>
      </c>
      <c r="Q544" s="185">
        <v>0</v>
      </c>
      <c r="R544" s="183"/>
      <c r="S544" s="185">
        <v>300</v>
      </c>
      <c r="T544" s="185">
        <v>-121207</v>
      </c>
    </row>
    <row r="545" ht="14.25">
      <c r="M545" s="184">
        <v>45504</v>
      </c>
      <c r="N545" s="185">
        <v>220</v>
      </c>
      <c r="O545" s="180" t="s">
        <v>536</v>
      </c>
      <c r="P545" s="180" t="s">
        <v>983</v>
      </c>
      <c r="Q545" s="185">
        <v>0</v>
      </c>
      <c r="R545" s="183"/>
      <c r="S545" s="185">
        <v>9000</v>
      </c>
      <c r="T545" s="185">
        <v>-130207</v>
      </c>
    </row>
    <row r="546" ht="14.25">
      <c r="M546" s="184">
        <v>45524</v>
      </c>
      <c r="N546" s="185">
        <v>221</v>
      </c>
      <c r="O546" s="180" t="s">
        <v>536</v>
      </c>
      <c r="P546" s="180" t="s">
        <v>984</v>
      </c>
      <c r="Q546" s="185">
        <v>0</v>
      </c>
      <c r="R546" s="183"/>
      <c r="S546" s="185">
        <v>230</v>
      </c>
      <c r="T546" s="185">
        <v>-130437</v>
      </c>
    </row>
    <row r="547" ht="14.25">
      <c r="M547" s="184">
        <v>45530</v>
      </c>
      <c r="N547" s="185">
        <v>222</v>
      </c>
      <c r="O547" s="180" t="s">
        <v>536</v>
      </c>
      <c r="P547" s="180" t="s">
        <v>985</v>
      </c>
      <c r="Q547" s="185">
        <v>0</v>
      </c>
      <c r="R547" s="183"/>
      <c r="S547" s="185">
        <v>307.60000000000002</v>
      </c>
      <c r="T547" s="185">
        <v>-130744.60000000001</v>
      </c>
    </row>
    <row r="548" ht="14.25">
      <c r="M548" s="184">
        <v>45532</v>
      </c>
      <c r="N548" s="185">
        <v>225</v>
      </c>
      <c r="O548" s="180" t="s">
        <v>536</v>
      </c>
      <c r="P548" s="180" t="s">
        <v>986</v>
      </c>
      <c r="Q548" s="185">
        <v>0</v>
      </c>
      <c r="R548" s="183"/>
      <c r="S548" s="185">
        <v>300</v>
      </c>
      <c r="T548" s="185">
        <v>-131044.60000000001</v>
      </c>
    </row>
    <row r="549" ht="14.25">
      <c r="M549" s="184">
        <v>45534</v>
      </c>
      <c r="N549" s="185">
        <v>226</v>
      </c>
      <c r="O549" s="180" t="s">
        <v>536</v>
      </c>
      <c r="P549" s="180" t="s">
        <v>955</v>
      </c>
      <c r="Q549" s="185">
        <v>0</v>
      </c>
      <c r="R549" s="183"/>
      <c r="S549" s="185">
        <v>3000</v>
      </c>
      <c r="T549" s="185">
        <v>-134044.60000000001</v>
      </c>
    </row>
    <row r="550" ht="14.25">
      <c r="M550" s="184">
        <v>45540</v>
      </c>
      <c r="N550" s="185">
        <v>227</v>
      </c>
      <c r="O550" s="180" t="s">
        <v>536</v>
      </c>
      <c r="P550" s="180" t="s">
        <v>987</v>
      </c>
      <c r="Q550" s="185">
        <v>0</v>
      </c>
      <c r="R550" s="183"/>
      <c r="S550" s="185">
        <v>213.59999999999999</v>
      </c>
      <c r="T550" s="185">
        <v>-134258.20000000001</v>
      </c>
    </row>
    <row r="551" ht="14.25">
      <c r="M551" s="184">
        <v>45545</v>
      </c>
      <c r="N551" s="185">
        <v>228</v>
      </c>
      <c r="O551" s="180" t="s">
        <v>536</v>
      </c>
      <c r="P551" s="180" t="s">
        <v>988</v>
      </c>
      <c r="Q551" s="185">
        <v>0</v>
      </c>
      <c r="R551" s="183"/>
      <c r="S551" s="185">
        <v>13283.639999999999</v>
      </c>
      <c r="T551" s="185">
        <v>-147541.84</v>
      </c>
    </row>
    <row r="552" ht="14.25">
      <c r="M552" s="184">
        <v>45565</v>
      </c>
      <c r="N552" s="185">
        <v>232</v>
      </c>
      <c r="O552" s="180" t="s">
        <v>536</v>
      </c>
      <c r="P552" s="180" t="s">
        <v>955</v>
      </c>
      <c r="Q552" s="185">
        <v>0</v>
      </c>
      <c r="R552" s="183"/>
      <c r="S552" s="185">
        <v>7250</v>
      </c>
      <c r="T552" s="185">
        <v>-154791.84</v>
      </c>
    </row>
    <row r="553" ht="14.25">
      <c r="M553" s="184">
        <v>45572</v>
      </c>
      <c r="N553" s="185">
        <v>235</v>
      </c>
      <c r="O553" s="180" t="s">
        <v>536</v>
      </c>
      <c r="P553" s="180" t="s">
        <v>989</v>
      </c>
      <c r="Q553" s="185">
        <v>0</v>
      </c>
      <c r="R553" s="183"/>
      <c r="S553" s="185">
        <v>193.40000000000001</v>
      </c>
      <c r="T553" s="185">
        <v>-154985.23999999999</v>
      </c>
    </row>
    <row r="554" ht="14.25">
      <c r="M554" s="184">
        <v>45575</v>
      </c>
      <c r="N554" s="185">
        <v>237</v>
      </c>
      <c r="O554" s="180" t="s">
        <v>536</v>
      </c>
      <c r="P554" s="180" t="s">
        <v>990</v>
      </c>
      <c r="Q554" s="185">
        <v>0</v>
      </c>
      <c r="R554" s="183"/>
      <c r="S554" s="185">
        <v>13243.33</v>
      </c>
      <c r="T554" s="185">
        <v>-168228.57000000001</v>
      </c>
    </row>
    <row r="555" ht="14.25">
      <c r="M555" s="184">
        <v>45575</v>
      </c>
      <c r="N555" s="185">
        <v>236</v>
      </c>
      <c r="O555" s="180" t="s">
        <v>536</v>
      </c>
      <c r="P555" s="180" t="s">
        <v>991</v>
      </c>
      <c r="Q555" s="185">
        <v>13283.639999999999</v>
      </c>
      <c r="R555" s="183"/>
      <c r="S555" s="185">
        <v>0</v>
      </c>
      <c r="T555" s="185">
        <v>-154944.92999999999</v>
      </c>
    </row>
    <row r="556" ht="14.25">
      <c r="M556" s="184">
        <v>45589</v>
      </c>
      <c r="N556" s="185">
        <v>240</v>
      </c>
      <c r="O556" s="180" t="s">
        <v>536</v>
      </c>
      <c r="P556" s="180" t="s">
        <v>992</v>
      </c>
      <c r="Q556" s="185">
        <v>0</v>
      </c>
      <c r="R556" s="183"/>
      <c r="S556" s="185">
        <v>7000</v>
      </c>
      <c r="T556" s="185">
        <v>-161944.92999999999</v>
      </c>
    </row>
    <row r="557" ht="14.25">
      <c r="M557" s="184">
        <v>45601</v>
      </c>
      <c r="N557" s="185">
        <v>243</v>
      </c>
      <c r="O557" s="180" t="s">
        <v>536</v>
      </c>
      <c r="P557" s="180" t="s">
        <v>993</v>
      </c>
      <c r="Q557" s="185">
        <v>0</v>
      </c>
      <c r="R557" s="183"/>
      <c r="S557" s="185">
        <v>294.69999999999999</v>
      </c>
      <c r="T557" s="185">
        <v>-162239.63</v>
      </c>
    </row>
    <row r="558" ht="14.25">
      <c r="M558" s="180" t="s">
        <v>242</v>
      </c>
      <c r="N558" s="180"/>
      <c r="O558" s="183"/>
      <c r="P558" s="183"/>
      <c r="Q558" s="185">
        <v>69756.139999999999</v>
      </c>
      <c r="R558" s="183"/>
      <c r="S558" s="185">
        <v>231995.76999999999</v>
      </c>
      <c r="T558" s="185">
        <v>-162239.63</v>
      </c>
    </row>
    <row r="559" ht="14.25">
      <c r="M559" s="186" t="s">
        <v>994</v>
      </c>
      <c r="N559" s="181" t="s">
        <v>995</v>
      </c>
      <c r="O559" s="180"/>
      <c r="P559" s="180"/>
      <c r="Q559" s="180"/>
      <c r="R559" s="183"/>
      <c r="S559" s="180"/>
      <c r="T559" s="180"/>
    </row>
    <row r="560" ht="14.25">
      <c r="M560" s="184">
        <v>45292</v>
      </c>
      <c r="N560" s="180" t="s">
        <v>996</v>
      </c>
      <c r="O560" s="180" t="s">
        <v>531</v>
      </c>
      <c r="P560" s="180" t="s">
        <v>997</v>
      </c>
      <c r="Q560" s="185">
        <v>58960</v>
      </c>
      <c r="R560" s="183"/>
      <c r="S560" s="185">
        <v>0</v>
      </c>
      <c r="T560" s="185">
        <v>58960</v>
      </c>
    </row>
    <row r="561" ht="14.25">
      <c r="M561" s="184">
        <v>45292</v>
      </c>
      <c r="N561" s="180" t="s">
        <v>998</v>
      </c>
      <c r="O561" s="180" t="s">
        <v>531</v>
      </c>
      <c r="P561" s="180" t="s">
        <v>999</v>
      </c>
      <c r="Q561" s="185">
        <v>0</v>
      </c>
      <c r="R561" s="183"/>
      <c r="S561" s="185">
        <v>58960</v>
      </c>
      <c r="T561" s="185">
        <v>0</v>
      </c>
    </row>
    <row r="562" ht="14.25">
      <c r="M562" s="184">
        <v>45297</v>
      </c>
      <c r="N562" s="185">
        <v>157</v>
      </c>
      <c r="O562" s="180" t="s">
        <v>536</v>
      </c>
      <c r="P562" s="180" t="s">
        <v>1000</v>
      </c>
      <c r="Q562" s="185">
        <v>0</v>
      </c>
      <c r="R562" s="183"/>
      <c r="S562" s="185">
        <v>2296</v>
      </c>
      <c r="T562" s="185">
        <v>-2296</v>
      </c>
    </row>
    <row r="563" ht="14.25">
      <c r="M563" s="184">
        <v>45316</v>
      </c>
      <c r="N563" s="185">
        <v>159</v>
      </c>
      <c r="O563" s="180" t="s">
        <v>536</v>
      </c>
      <c r="P563" s="180" t="s">
        <v>1001</v>
      </c>
      <c r="Q563" s="185">
        <v>0</v>
      </c>
      <c r="R563" s="183"/>
      <c r="S563" s="185">
        <v>3380</v>
      </c>
      <c r="T563" s="185">
        <v>-5676</v>
      </c>
    </row>
    <row r="564" ht="14.25">
      <c r="M564" s="184">
        <v>45345</v>
      </c>
      <c r="N564" s="185">
        <v>165</v>
      </c>
      <c r="O564" s="180" t="s">
        <v>536</v>
      </c>
      <c r="P564" s="180" t="s">
        <v>1002</v>
      </c>
      <c r="Q564" s="185">
        <v>0</v>
      </c>
      <c r="R564" s="183"/>
      <c r="S564" s="185">
        <v>1148</v>
      </c>
      <c r="T564" s="185">
        <v>-6824</v>
      </c>
    </row>
    <row r="565" ht="14.25">
      <c r="M565" s="184">
        <v>45348</v>
      </c>
      <c r="N565" s="185">
        <v>166</v>
      </c>
      <c r="O565" s="180" t="s">
        <v>536</v>
      </c>
      <c r="P565" s="180" t="s">
        <v>1003</v>
      </c>
      <c r="Q565" s="185">
        <v>0</v>
      </c>
      <c r="R565" s="183"/>
      <c r="S565" s="185">
        <v>2000</v>
      </c>
      <c r="T565" s="185">
        <v>-8824</v>
      </c>
    </row>
    <row r="566" ht="14.25">
      <c r="M566" s="184">
        <v>45350</v>
      </c>
      <c r="N566" s="185">
        <v>170</v>
      </c>
      <c r="O566" s="180" t="s">
        <v>536</v>
      </c>
      <c r="P566" s="180" t="s">
        <v>1004</v>
      </c>
      <c r="Q566" s="185">
        <v>0</v>
      </c>
      <c r="R566" s="183"/>
      <c r="S566" s="185">
        <v>3650</v>
      </c>
      <c r="T566" s="185">
        <v>-12474</v>
      </c>
    </row>
    <row r="567" ht="14.25">
      <c r="M567" s="184">
        <v>45359</v>
      </c>
      <c r="N567" s="185">
        <v>175</v>
      </c>
      <c r="O567" s="180" t="s">
        <v>536</v>
      </c>
      <c r="P567" s="180" t="s">
        <v>1005</v>
      </c>
      <c r="Q567" s="185">
        <v>0</v>
      </c>
      <c r="R567" s="183"/>
      <c r="S567" s="185">
        <v>475</v>
      </c>
      <c r="T567" s="185">
        <v>-12949</v>
      </c>
    </row>
    <row r="568" ht="14.25">
      <c r="M568" s="184">
        <v>45364</v>
      </c>
      <c r="N568" s="185">
        <v>176</v>
      </c>
      <c r="O568" s="180" t="s">
        <v>536</v>
      </c>
      <c r="P568" s="180" t="s">
        <v>1006</v>
      </c>
      <c r="Q568" s="185">
        <v>0</v>
      </c>
      <c r="R568" s="183"/>
      <c r="S568" s="185">
        <v>750</v>
      </c>
      <c r="T568" s="185">
        <v>-13699</v>
      </c>
    </row>
    <row r="569" ht="14.25">
      <c r="M569" s="184">
        <v>45380</v>
      </c>
      <c r="N569" s="185">
        <v>181</v>
      </c>
      <c r="O569" s="180" t="s">
        <v>536</v>
      </c>
      <c r="P569" s="180" t="s">
        <v>1007</v>
      </c>
      <c r="Q569" s="185">
        <v>0</v>
      </c>
      <c r="R569" s="183"/>
      <c r="S569" s="185">
        <v>5542.5</v>
      </c>
      <c r="T569" s="185">
        <v>-19241.5</v>
      </c>
    </row>
    <row r="570" ht="14.25">
      <c r="M570" s="184">
        <v>45384</v>
      </c>
      <c r="N570" s="185">
        <v>183</v>
      </c>
      <c r="O570" s="180" t="s">
        <v>536</v>
      </c>
      <c r="P570" s="180" t="s">
        <v>1008</v>
      </c>
      <c r="Q570" s="185">
        <v>7300</v>
      </c>
      <c r="R570" s="183"/>
      <c r="S570" s="185">
        <v>0</v>
      </c>
      <c r="T570" s="185">
        <v>-11941.5</v>
      </c>
    </row>
    <row r="571" ht="14.25">
      <c r="M571" s="184">
        <v>45384</v>
      </c>
      <c r="N571" s="185">
        <v>184</v>
      </c>
      <c r="O571" s="180" t="s">
        <v>536</v>
      </c>
      <c r="P571" s="180" t="s">
        <v>1009</v>
      </c>
      <c r="Q571" s="185">
        <v>2400</v>
      </c>
      <c r="R571" s="183"/>
      <c r="S571" s="185">
        <v>0</v>
      </c>
      <c r="T571" s="185">
        <v>-9541.5</v>
      </c>
    </row>
    <row r="572" ht="14.25">
      <c r="M572" s="184">
        <v>45384</v>
      </c>
      <c r="N572" s="185">
        <v>187</v>
      </c>
      <c r="O572" s="180" t="s">
        <v>536</v>
      </c>
      <c r="P572" s="180" t="s">
        <v>1010</v>
      </c>
      <c r="Q572" s="185">
        <v>47221</v>
      </c>
      <c r="R572" s="183"/>
      <c r="S572" s="185">
        <v>0</v>
      </c>
      <c r="T572" s="185">
        <v>37679.5</v>
      </c>
    </row>
    <row r="573" ht="14.25">
      <c r="M573" s="184">
        <v>45384</v>
      </c>
      <c r="N573" s="185">
        <v>189</v>
      </c>
      <c r="O573" s="180" t="s">
        <v>536</v>
      </c>
      <c r="P573" s="180" t="s">
        <v>1011</v>
      </c>
      <c r="Q573" s="185">
        <v>650</v>
      </c>
      <c r="R573" s="183"/>
      <c r="S573" s="185">
        <v>0</v>
      </c>
      <c r="T573" s="185">
        <v>38329.5</v>
      </c>
    </row>
    <row r="574" ht="14.25">
      <c r="M574" s="184">
        <v>45401</v>
      </c>
      <c r="N574" s="185">
        <v>192</v>
      </c>
      <c r="O574" s="180" t="s">
        <v>536</v>
      </c>
      <c r="P574" s="180" t="s">
        <v>1005</v>
      </c>
      <c r="Q574" s="185">
        <v>0</v>
      </c>
      <c r="R574" s="183"/>
      <c r="S574" s="185">
        <v>950</v>
      </c>
      <c r="T574" s="185">
        <v>37379.5</v>
      </c>
    </row>
    <row r="575" ht="14.25">
      <c r="M575" s="184">
        <v>45410</v>
      </c>
      <c r="N575" s="185">
        <v>193</v>
      </c>
      <c r="O575" s="180" t="s">
        <v>536</v>
      </c>
      <c r="P575" s="180" t="s">
        <v>1012</v>
      </c>
      <c r="Q575" s="185">
        <v>0</v>
      </c>
      <c r="R575" s="183"/>
      <c r="S575" s="185">
        <v>3487.5</v>
      </c>
      <c r="T575" s="185">
        <v>33892</v>
      </c>
    </row>
    <row r="576" ht="14.25">
      <c r="M576" s="184">
        <v>45441</v>
      </c>
      <c r="N576" s="185">
        <v>199</v>
      </c>
      <c r="O576" s="180" t="s">
        <v>536</v>
      </c>
      <c r="P576" s="180" t="s">
        <v>1013</v>
      </c>
      <c r="Q576" s="185">
        <v>0</v>
      </c>
      <c r="R576" s="183"/>
      <c r="S576" s="185">
        <v>1500</v>
      </c>
      <c r="T576" s="185">
        <v>32392</v>
      </c>
    </row>
    <row r="577" ht="14.25">
      <c r="M577" s="184">
        <v>45443</v>
      </c>
      <c r="N577" s="185">
        <v>201</v>
      </c>
      <c r="O577" s="180" t="s">
        <v>536</v>
      </c>
      <c r="P577" s="180" t="s">
        <v>1014</v>
      </c>
      <c r="Q577" s="185">
        <v>0</v>
      </c>
      <c r="R577" s="183"/>
      <c r="S577" s="185">
        <v>4612.5</v>
      </c>
      <c r="T577" s="185">
        <v>27779.5</v>
      </c>
    </row>
    <row r="578" ht="14.25">
      <c r="M578" s="184">
        <v>45447</v>
      </c>
      <c r="N578" s="185">
        <v>202</v>
      </c>
      <c r="O578" s="180" t="s">
        <v>536</v>
      </c>
      <c r="P578" s="180" t="s">
        <v>1005</v>
      </c>
      <c r="Q578" s="185">
        <v>0</v>
      </c>
      <c r="R578" s="183"/>
      <c r="S578" s="185">
        <v>950</v>
      </c>
      <c r="T578" s="185">
        <v>26829.5</v>
      </c>
    </row>
    <row r="579" ht="14.25">
      <c r="M579" s="184">
        <v>45450</v>
      </c>
      <c r="N579" s="185">
        <v>205</v>
      </c>
      <c r="O579" s="180" t="s">
        <v>536</v>
      </c>
      <c r="P579" s="180" t="s">
        <v>1015</v>
      </c>
      <c r="Q579" s="185">
        <v>2296</v>
      </c>
      <c r="R579" s="183"/>
      <c r="S579" s="185">
        <v>0</v>
      </c>
      <c r="T579" s="185">
        <v>29125.5</v>
      </c>
    </row>
    <row r="580" ht="14.25">
      <c r="M580" s="184">
        <v>45468</v>
      </c>
      <c r="N580" s="185">
        <v>207</v>
      </c>
      <c r="O580" s="180" t="s">
        <v>536</v>
      </c>
      <c r="P580" s="180" t="s">
        <v>1016</v>
      </c>
      <c r="Q580" s="185">
        <v>0</v>
      </c>
      <c r="R580" s="183"/>
      <c r="S580" s="185">
        <v>1600</v>
      </c>
      <c r="T580" s="185">
        <v>27525.5</v>
      </c>
    </row>
    <row r="581" ht="14.25">
      <c r="M581" s="184">
        <v>45471</v>
      </c>
      <c r="N581" s="185">
        <v>210</v>
      </c>
      <c r="O581" s="180" t="s">
        <v>536</v>
      </c>
      <c r="P581" s="180" t="s">
        <v>1017</v>
      </c>
      <c r="Q581" s="185">
        <v>0</v>
      </c>
      <c r="R581" s="183"/>
      <c r="S581" s="185">
        <v>6550</v>
      </c>
      <c r="T581" s="185">
        <v>20975.5</v>
      </c>
    </row>
    <row r="582" ht="14.25">
      <c r="M582" s="184">
        <v>45477</v>
      </c>
      <c r="N582" s="185">
        <v>211</v>
      </c>
      <c r="O582" s="180" t="s">
        <v>536</v>
      </c>
      <c r="P582" s="180" t="s">
        <v>1018</v>
      </c>
      <c r="Q582" s="185">
        <v>0</v>
      </c>
      <c r="R582" s="183"/>
      <c r="S582" s="185">
        <v>2400</v>
      </c>
      <c r="T582" s="185">
        <v>18575.5</v>
      </c>
    </row>
    <row r="583" ht="14.25">
      <c r="M583" s="184">
        <v>45495</v>
      </c>
      <c r="N583" s="185">
        <v>216</v>
      </c>
      <c r="O583" s="180" t="s">
        <v>536</v>
      </c>
      <c r="P583" s="180" t="s">
        <v>1019</v>
      </c>
      <c r="Q583" s="185">
        <v>0</v>
      </c>
      <c r="R583" s="183"/>
      <c r="S583" s="185">
        <v>1600</v>
      </c>
      <c r="T583" s="185">
        <v>16975.5</v>
      </c>
    </row>
    <row r="584" ht="14.25">
      <c r="M584" s="184">
        <v>45495</v>
      </c>
      <c r="N584" s="185">
        <v>217</v>
      </c>
      <c r="O584" s="180" t="s">
        <v>536</v>
      </c>
      <c r="P584" s="180" t="s">
        <v>1018</v>
      </c>
      <c r="Q584" s="185">
        <v>0</v>
      </c>
      <c r="R584" s="183"/>
      <c r="S584" s="185">
        <v>1250</v>
      </c>
      <c r="T584" s="185">
        <v>15725.5</v>
      </c>
    </row>
    <row r="585" ht="14.25">
      <c r="M585" s="184">
        <v>45497</v>
      </c>
      <c r="N585" s="185">
        <v>219</v>
      </c>
      <c r="O585" s="180" t="s">
        <v>536</v>
      </c>
      <c r="P585" s="180" t="s">
        <v>1020</v>
      </c>
      <c r="Q585" s="185">
        <v>0</v>
      </c>
      <c r="R585" s="183"/>
      <c r="S585" s="185">
        <v>6550</v>
      </c>
      <c r="T585" s="185">
        <v>9175.5</v>
      </c>
    </row>
    <row r="586" ht="14.25">
      <c r="M586" s="184">
        <v>45531</v>
      </c>
      <c r="N586" s="185">
        <v>223</v>
      </c>
      <c r="O586" s="180" t="s">
        <v>536</v>
      </c>
      <c r="P586" s="180" t="s">
        <v>1020</v>
      </c>
      <c r="Q586" s="185">
        <v>0</v>
      </c>
      <c r="R586" s="183"/>
      <c r="S586" s="185">
        <v>950</v>
      </c>
      <c r="T586" s="185">
        <v>8225.5</v>
      </c>
    </row>
    <row r="587" ht="14.25">
      <c r="M587" s="184">
        <v>45532</v>
      </c>
      <c r="N587" s="185">
        <v>224</v>
      </c>
      <c r="O587" s="180" t="s">
        <v>536</v>
      </c>
      <c r="P587" s="180" t="s">
        <v>1018</v>
      </c>
      <c r="Q587" s="185">
        <v>0</v>
      </c>
      <c r="R587" s="183"/>
      <c r="S587" s="185">
        <v>400</v>
      </c>
      <c r="T587" s="185">
        <v>7825.5</v>
      </c>
    </row>
    <row r="588" ht="14.25">
      <c r="M588" s="184">
        <v>45548</v>
      </c>
      <c r="N588" s="185">
        <v>229</v>
      </c>
      <c r="O588" s="180" t="s">
        <v>536</v>
      </c>
      <c r="P588" s="180" t="s">
        <v>1021</v>
      </c>
      <c r="Q588" s="185">
        <v>0</v>
      </c>
      <c r="R588" s="183"/>
      <c r="S588" s="185">
        <v>1400</v>
      </c>
      <c r="T588" s="185">
        <v>6425.5</v>
      </c>
    </row>
    <row r="589" ht="14.25">
      <c r="M589" s="184">
        <v>45553</v>
      </c>
      <c r="N589" s="185">
        <v>230</v>
      </c>
      <c r="O589" s="180" t="s">
        <v>536</v>
      </c>
      <c r="P589" s="180" t="s">
        <v>1022</v>
      </c>
      <c r="Q589" s="185">
        <v>0</v>
      </c>
      <c r="R589" s="183"/>
      <c r="S589" s="185">
        <v>1300</v>
      </c>
      <c r="T589" s="185">
        <v>5125.5</v>
      </c>
    </row>
    <row r="590" ht="14.25">
      <c r="M590" s="184">
        <v>45554</v>
      </c>
      <c r="N590" s="185">
        <v>231</v>
      </c>
      <c r="O590" s="180" t="s">
        <v>536</v>
      </c>
      <c r="P590" s="180" t="s">
        <v>1005</v>
      </c>
      <c r="Q590" s="185">
        <v>0</v>
      </c>
      <c r="R590" s="183"/>
      <c r="S590" s="185">
        <v>2375</v>
      </c>
      <c r="T590" s="185">
        <v>2750.5</v>
      </c>
    </row>
    <row r="591" ht="14.25">
      <c r="M591" s="184">
        <v>45566</v>
      </c>
      <c r="N591" s="185">
        <v>233</v>
      </c>
      <c r="O591" s="180" t="s">
        <v>536</v>
      </c>
      <c r="P591" s="180" t="s">
        <v>1023</v>
      </c>
      <c r="Q591" s="185">
        <v>0</v>
      </c>
      <c r="R591" s="183"/>
      <c r="S591" s="185">
        <v>2850</v>
      </c>
      <c r="T591" s="185">
        <v>-99.5</v>
      </c>
    </row>
    <row r="592" ht="14.25">
      <c r="M592" s="184">
        <v>45566</v>
      </c>
      <c r="N592" s="185">
        <v>234</v>
      </c>
      <c r="O592" s="180" t="s">
        <v>536</v>
      </c>
      <c r="P592" s="180" t="s">
        <v>1024</v>
      </c>
      <c r="Q592" s="185">
        <v>0</v>
      </c>
      <c r="R592" s="183"/>
      <c r="S592" s="185">
        <v>1900</v>
      </c>
      <c r="T592" s="185">
        <v>-1999.5</v>
      </c>
    </row>
    <row r="593" ht="14.25">
      <c r="M593" s="184">
        <v>45575</v>
      </c>
      <c r="N593" s="185">
        <v>238</v>
      </c>
      <c r="O593" s="180" t="s">
        <v>536</v>
      </c>
      <c r="P593" s="180" t="s">
        <v>1025</v>
      </c>
      <c r="Q593" s="185">
        <v>0</v>
      </c>
      <c r="R593" s="183"/>
      <c r="S593" s="185">
        <v>1425</v>
      </c>
      <c r="T593" s="185">
        <v>-3424.5</v>
      </c>
    </row>
    <row r="594" ht="14.25">
      <c r="M594" s="184">
        <v>45586</v>
      </c>
      <c r="N594" s="185">
        <v>239</v>
      </c>
      <c r="O594" s="180" t="s">
        <v>536</v>
      </c>
      <c r="P594" s="180" t="s">
        <v>1026</v>
      </c>
      <c r="Q594" s="185">
        <v>0</v>
      </c>
      <c r="R594" s="183"/>
      <c r="S594" s="185">
        <v>800</v>
      </c>
      <c r="T594" s="185">
        <v>-4224.5</v>
      </c>
    </row>
    <row r="595" ht="14.25">
      <c r="M595" s="184">
        <v>45589</v>
      </c>
      <c r="N595" s="185">
        <v>241</v>
      </c>
      <c r="O595" s="180" t="s">
        <v>536</v>
      </c>
      <c r="P595" s="180" t="s">
        <v>1027</v>
      </c>
      <c r="Q595" s="185">
        <v>0</v>
      </c>
      <c r="R595" s="183"/>
      <c r="S595" s="185">
        <v>1425</v>
      </c>
      <c r="T595" s="185">
        <v>-5649.5</v>
      </c>
    </row>
    <row r="596" ht="14.25">
      <c r="M596" s="184">
        <v>45595</v>
      </c>
      <c r="N596" s="185">
        <v>242</v>
      </c>
      <c r="O596" s="180" t="s">
        <v>536</v>
      </c>
      <c r="P596" s="180" t="s">
        <v>1028</v>
      </c>
      <c r="Q596" s="185">
        <v>0</v>
      </c>
      <c r="R596" s="183"/>
      <c r="S596" s="185">
        <v>2520</v>
      </c>
      <c r="T596" s="185">
        <v>-8169.5</v>
      </c>
    </row>
    <row r="597" ht="14.25">
      <c r="M597" s="180" t="s">
        <v>242</v>
      </c>
      <c r="N597" s="183"/>
      <c r="O597" s="183"/>
      <c r="P597" s="183"/>
      <c r="Q597" s="185">
        <v>118827</v>
      </c>
      <c r="R597" s="183"/>
      <c r="S597" s="185">
        <v>126996.5</v>
      </c>
      <c r="T597" s="185">
        <v>-8169.5</v>
      </c>
    </row>
    <row r="598" ht="14.25">
      <c r="M598" s="180" t="s">
        <v>1029</v>
      </c>
      <c r="N598" s="181" t="s">
        <v>1030</v>
      </c>
      <c r="O598" s="183"/>
      <c r="P598" s="183"/>
      <c r="Q598" s="183"/>
      <c r="R598" s="183"/>
      <c r="S598" s="183"/>
      <c r="T598" s="183"/>
    </row>
    <row r="599" ht="14.25">
      <c r="M599" s="184">
        <v>45317</v>
      </c>
      <c r="N599" s="185">
        <v>160</v>
      </c>
      <c r="O599" s="180" t="s">
        <v>536</v>
      </c>
      <c r="P599" s="180" t="s">
        <v>1031</v>
      </c>
      <c r="Q599" s="185">
        <v>0</v>
      </c>
      <c r="R599" s="183"/>
      <c r="S599" s="185">
        <v>9750</v>
      </c>
      <c r="T599" s="185">
        <v>-9750</v>
      </c>
    </row>
    <row r="600" ht="14.25">
      <c r="M600" s="184">
        <v>45348</v>
      </c>
      <c r="N600" s="185">
        <v>167</v>
      </c>
      <c r="O600" s="180" t="s">
        <v>536</v>
      </c>
      <c r="P600" s="180" t="s">
        <v>1032</v>
      </c>
      <c r="Q600" s="185">
        <v>0</v>
      </c>
      <c r="R600" s="183"/>
      <c r="S600" s="185">
        <v>3900</v>
      </c>
      <c r="T600" s="185">
        <v>-13650</v>
      </c>
    </row>
    <row r="601" ht="14.25">
      <c r="M601" s="184">
        <v>45380</v>
      </c>
      <c r="N601" s="185">
        <v>179</v>
      </c>
      <c r="O601" s="180" t="s">
        <v>536</v>
      </c>
      <c r="P601" s="180" t="s">
        <v>1033</v>
      </c>
      <c r="Q601" s="185">
        <v>0</v>
      </c>
      <c r="R601" s="183"/>
      <c r="S601" s="185">
        <v>650</v>
      </c>
      <c r="T601" s="185">
        <v>-14300</v>
      </c>
    </row>
    <row r="602" ht="14.25">
      <c r="M602" s="180" t="s">
        <v>242</v>
      </c>
      <c r="N602" s="183"/>
      <c r="O602" s="183"/>
      <c r="P602" s="183"/>
      <c r="Q602" s="185">
        <v>0</v>
      </c>
      <c r="R602" s="183"/>
      <c r="S602" s="185">
        <v>14300</v>
      </c>
      <c r="T602" s="185">
        <v>-14300</v>
      </c>
    </row>
    <row r="603" ht="14.25">
      <c r="M603" s="180" t="s">
        <v>1034</v>
      </c>
      <c r="N603" s="181" t="s">
        <v>1035</v>
      </c>
      <c r="O603" s="183"/>
      <c r="P603" s="183"/>
      <c r="Q603" s="183"/>
      <c r="R603" s="183"/>
      <c r="S603" s="183"/>
      <c r="T603" s="183"/>
    </row>
    <row r="604" ht="14.25">
      <c r="M604" s="184">
        <v>45292</v>
      </c>
      <c r="N604" s="180" t="s">
        <v>942</v>
      </c>
      <c r="O604" s="180" t="s">
        <v>512</v>
      </c>
      <c r="P604" s="180" t="s">
        <v>1036</v>
      </c>
      <c r="Q604" s="185">
        <v>37.5</v>
      </c>
      <c r="R604" s="183"/>
      <c r="S604" s="185">
        <v>0</v>
      </c>
      <c r="T604" s="185">
        <v>37.5</v>
      </c>
    </row>
    <row r="605" ht="14.25">
      <c r="M605" s="184">
        <v>45292</v>
      </c>
      <c r="N605" s="180" t="s">
        <v>942</v>
      </c>
      <c r="O605" s="180" t="s">
        <v>512</v>
      </c>
      <c r="P605" s="180" t="s">
        <v>1037</v>
      </c>
      <c r="Q605" s="185">
        <v>63.630000000000003</v>
      </c>
      <c r="R605" s="183"/>
      <c r="S605" s="185">
        <v>0</v>
      </c>
      <c r="T605" s="185">
        <v>101.13</v>
      </c>
    </row>
    <row r="606" ht="14.25">
      <c r="M606" s="184">
        <v>45296</v>
      </c>
      <c r="N606" s="185">
        <v>150</v>
      </c>
      <c r="O606" s="180" t="s">
        <v>536</v>
      </c>
      <c r="P606" s="180" t="s">
        <v>1038</v>
      </c>
      <c r="Q606" s="185">
        <v>0</v>
      </c>
      <c r="R606" s="183"/>
      <c r="S606" s="185">
        <v>37.5</v>
      </c>
      <c r="T606" s="185">
        <v>63.630000000000003</v>
      </c>
    </row>
    <row r="607" ht="14.25">
      <c r="M607" s="184">
        <v>45314</v>
      </c>
      <c r="N607" s="185">
        <v>156</v>
      </c>
      <c r="O607" s="180" t="s">
        <v>536</v>
      </c>
      <c r="P607" s="180" t="s">
        <v>1039</v>
      </c>
      <c r="Q607" s="185">
        <v>0</v>
      </c>
      <c r="R607" s="183"/>
      <c r="S607" s="185">
        <v>63.630000000000003</v>
      </c>
      <c r="T607" s="185">
        <v>0</v>
      </c>
    </row>
    <row r="608" ht="14.25">
      <c r="M608" s="180" t="s">
        <v>242</v>
      </c>
      <c r="N608" s="183"/>
      <c r="O608" s="183"/>
      <c r="P608" s="183"/>
      <c r="Q608" s="185">
        <v>101.13</v>
      </c>
      <c r="R608" s="183"/>
      <c r="S608" s="185">
        <v>101.13</v>
      </c>
      <c r="T608" s="185">
        <v>0</v>
      </c>
    </row>
    <row r="609" ht="14.25">
      <c r="M609" s="180" t="s">
        <v>1040</v>
      </c>
      <c r="N609" s="181" t="s">
        <v>1041</v>
      </c>
      <c r="O609" s="183"/>
      <c r="P609" s="183"/>
      <c r="Q609" s="183"/>
      <c r="R609" s="183"/>
      <c r="S609" s="183"/>
      <c r="T609" s="183"/>
    </row>
    <row r="610" ht="14.25">
      <c r="M610" s="184">
        <v>45306</v>
      </c>
      <c r="N610" s="183"/>
      <c r="O610" s="180" t="s">
        <v>531</v>
      </c>
      <c r="P610" s="180" t="s">
        <v>926</v>
      </c>
      <c r="Q610" s="185">
        <v>0</v>
      </c>
      <c r="R610" s="183"/>
      <c r="S610" s="185">
        <v>0.01</v>
      </c>
      <c r="T610" s="185">
        <v>-0.01</v>
      </c>
    </row>
    <row r="611" ht="14.25">
      <c r="M611" s="184">
        <v>45314</v>
      </c>
      <c r="N611" s="183"/>
      <c r="O611" s="180" t="s">
        <v>531</v>
      </c>
      <c r="P611" s="180" t="s">
        <v>925</v>
      </c>
      <c r="Q611" s="185">
        <v>0</v>
      </c>
      <c r="R611" s="183"/>
      <c r="S611" s="185">
        <v>1.0600000000000001</v>
      </c>
      <c r="T611" s="185">
        <v>-1.0700000000000001</v>
      </c>
    </row>
    <row r="612" ht="14.25">
      <c r="M612" s="184">
        <v>45351</v>
      </c>
      <c r="N612" s="183"/>
      <c r="O612" s="180" t="s">
        <v>531</v>
      </c>
      <c r="P612" s="180" t="s">
        <v>922</v>
      </c>
      <c r="Q612" s="185">
        <v>0</v>
      </c>
      <c r="R612" s="183"/>
      <c r="S612" s="185">
        <v>0.31</v>
      </c>
      <c r="T612" s="185">
        <v>-1.3799999999999999</v>
      </c>
    </row>
    <row r="613" ht="14.25">
      <c r="M613" s="184">
        <v>45364</v>
      </c>
      <c r="N613" s="183"/>
      <c r="O613" s="180" t="s">
        <v>531</v>
      </c>
      <c r="P613" s="180" t="s">
        <v>926</v>
      </c>
      <c r="Q613" s="185">
        <v>1.28</v>
      </c>
      <c r="R613" s="183"/>
      <c r="S613" s="185">
        <v>0</v>
      </c>
      <c r="T613" s="185">
        <v>-0.10000000000000001</v>
      </c>
    </row>
    <row r="614" ht="14.25">
      <c r="M614" s="184">
        <v>45382</v>
      </c>
      <c r="N614" s="183"/>
      <c r="O614" s="180" t="s">
        <v>531</v>
      </c>
      <c r="P614" s="180" t="s">
        <v>922</v>
      </c>
      <c r="Q614" s="185">
        <v>0</v>
      </c>
      <c r="R614" s="183"/>
      <c r="S614" s="185">
        <v>0.31</v>
      </c>
      <c r="T614" s="185">
        <v>-0.40999999999999998</v>
      </c>
    </row>
    <row r="615" ht="14.25">
      <c r="M615" s="184">
        <v>45397</v>
      </c>
      <c r="N615" s="183"/>
      <c r="O615" s="180" t="s">
        <v>531</v>
      </c>
      <c r="P615" s="180" t="s">
        <v>926</v>
      </c>
      <c r="Q615" s="185">
        <v>1.29</v>
      </c>
      <c r="R615" s="183"/>
      <c r="S615" s="185">
        <v>0</v>
      </c>
      <c r="T615" s="185">
        <v>0.88</v>
      </c>
    </row>
    <row r="616" ht="14.25">
      <c r="M616" s="184">
        <v>45412</v>
      </c>
      <c r="N616" s="183"/>
      <c r="O616" s="180" t="s">
        <v>531</v>
      </c>
      <c r="P616" s="180" t="s">
        <v>925</v>
      </c>
      <c r="Q616" s="185">
        <v>0</v>
      </c>
      <c r="R616" s="183"/>
      <c r="S616" s="185">
        <v>0.10000000000000001</v>
      </c>
      <c r="T616" s="185">
        <v>0.78000000000000003</v>
      </c>
    </row>
    <row r="617" ht="14.25">
      <c r="M617" s="184">
        <v>45443</v>
      </c>
      <c r="N617" s="183"/>
      <c r="O617" s="180" t="s">
        <v>531</v>
      </c>
      <c r="P617" s="180" t="s">
        <v>925</v>
      </c>
      <c r="Q617" s="185">
        <v>0</v>
      </c>
      <c r="R617" s="183"/>
      <c r="S617" s="185">
        <v>0.02</v>
      </c>
      <c r="T617" s="185">
        <v>0.76000000000000001</v>
      </c>
    </row>
    <row r="618" ht="14.25">
      <c r="M618" s="184">
        <v>45443</v>
      </c>
      <c r="N618" s="183"/>
      <c r="O618" s="180" t="s">
        <v>531</v>
      </c>
      <c r="P618" s="180" t="s">
        <v>925</v>
      </c>
      <c r="Q618" s="185">
        <v>0</v>
      </c>
      <c r="R618" s="183"/>
      <c r="S618" s="185">
        <v>0.029999999999999999</v>
      </c>
      <c r="T618" s="185">
        <v>0.72999999999999998</v>
      </c>
    </row>
    <row r="619" ht="14.25">
      <c r="M619" s="184">
        <v>45443</v>
      </c>
      <c r="N619" s="183"/>
      <c r="O619" s="180" t="s">
        <v>531</v>
      </c>
      <c r="P619" s="180" t="s">
        <v>1042</v>
      </c>
      <c r="Q619" s="185">
        <v>0</v>
      </c>
      <c r="R619" s="183"/>
      <c r="S619" s="185">
        <v>0.56000000000000005</v>
      </c>
      <c r="T619" s="185">
        <v>0.17000000000000001</v>
      </c>
    </row>
    <row r="620" ht="14.25">
      <c r="M620" s="184">
        <v>45473</v>
      </c>
      <c r="N620" s="183"/>
      <c r="O620" s="180" t="s">
        <v>531</v>
      </c>
      <c r="P620" s="180" t="s">
        <v>1043</v>
      </c>
      <c r="Q620" s="185">
        <v>0</v>
      </c>
      <c r="R620" s="183"/>
      <c r="S620" s="185">
        <v>0.56000000000000005</v>
      </c>
      <c r="T620" s="185">
        <v>-0.39000000000000001</v>
      </c>
    </row>
    <row r="621" ht="14.25">
      <c r="M621" s="184">
        <v>45504</v>
      </c>
      <c r="N621" s="183"/>
      <c r="O621" s="180" t="s">
        <v>531</v>
      </c>
      <c r="P621" s="180" t="s">
        <v>1044</v>
      </c>
      <c r="Q621" s="185">
        <v>0</v>
      </c>
      <c r="R621" s="183"/>
      <c r="S621" s="185">
        <v>0.20000000000000001</v>
      </c>
      <c r="T621" s="185">
        <v>-0.58999999999999997</v>
      </c>
    </row>
    <row r="622" ht="14.25">
      <c r="M622" s="184">
        <v>45535</v>
      </c>
      <c r="N622" s="183"/>
      <c r="O622" s="180" t="s">
        <v>531</v>
      </c>
      <c r="P622" s="180" t="s">
        <v>925</v>
      </c>
      <c r="Q622" s="185">
        <v>0</v>
      </c>
      <c r="R622" s="183"/>
      <c r="S622" s="185">
        <v>0.27000000000000002</v>
      </c>
      <c r="T622" s="185">
        <v>-0.85999999999999999</v>
      </c>
    </row>
    <row r="623" ht="14.25">
      <c r="M623" s="184">
        <v>45565</v>
      </c>
      <c r="N623" s="183"/>
      <c r="O623" s="180" t="s">
        <v>531</v>
      </c>
      <c r="P623" s="180" t="s">
        <v>1045</v>
      </c>
      <c r="Q623" s="185">
        <v>0</v>
      </c>
      <c r="R623" s="183"/>
      <c r="S623" s="185">
        <v>0.17999999999999999</v>
      </c>
      <c r="T623" s="185">
        <v>-1.04</v>
      </c>
    </row>
    <row r="624" ht="14.25">
      <c r="M624" s="184">
        <v>45565</v>
      </c>
      <c r="N624" s="183"/>
      <c r="O624" s="180" t="s">
        <v>531</v>
      </c>
      <c r="P624" s="180" t="s">
        <v>925</v>
      </c>
      <c r="Q624" s="185">
        <v>0</v>
      </c>
      <c r="R624" s="183"/>
      <c r="S624" s="185">
        <v>0.31</v>
      </c>
      <c r="T624" s="185">
        <v>-1.3500000000000001</v>
      </c>
    </row>
    <row r="625" ht="14.25">
      <c r="M625" s="184">
        <v>45580</v>
      </c>
      <c r="N625" s="183"/>
      <c r="O625" s="180" t="s">
        <v>531</v>
      </c>
      <c r="P625" s="180" t="s">
        <v>926</v>
      </c>
      <c r="Q625" s="185">
        <v>0</v>
      </c>
      <c r="R625" s="183"/>
      <c r="S625" s="185">
        <v>0.080000000000000002</v>
      </c>
      <c r="T625" s="185">
        <v>-1.4299999999999999</v>
      </c>
    </row>
    <row r="626" ht="14.25">
      <c r="M626" s="184">
        <v>45596</v>
      </c>
      <c r="N626" s="183"/>
      <c r="O626" s="180" t="s">
        <v>531</v>
      </c>
      <c r="P626" s="180" t="s">
        <v>929</v>
      </c>
      <c r="Q626" s="185">
        <v>0</v>
      </c>
      <c r="R626" s="183"/>
      <c r="S626" s="185">
        <v>0.48999999999999999</v>
      </c>
      <c r="T626" s="185">
        <v>-1.9199999999999999</v>
      </c>
    </row>
    <row r="627" ht="14.25">
      <c r="M627" s="180" t="s">
        <v>242</v>
      </c>
      <c r="N627" s="183"/>
      <c r="O627" s="183"/>
      <c r="P627" s="183"/>
      <c r="Q627" s="185">
        <v>2.5699999999999998</v>
      </c>
      <c r="R627" s="183"/>
      <c r="S627" s="185">
        <v>4.4900000000000002</v>
      </c>
      <c r="T627" s="185">
        <v>-1.9199999999999999</v>
      </c>
    </row>
    <row r="628" ht="14.25">
      <c r="M628" s="180" t="s">
        <v>1046</v>
      </c>
      <c r="N628" s="181" t="s">
        <v>1047</v>
      </c>
      <c r="O628" s="183"/>
      <c r="P628" s="183"/>
      <c r="Q628" s="183"/>
      <c r="R628" s="183"/>
      <c r="S628" s="183"/>
      <c r="T628" s="183"/>
    </row>
    <row r="629" ht="14.25">
      <c r="M629" s="184">
        <v>45379</v>
      </c>
      <c r="N629" s="183"/>
      <c r="O629" s="180" t="s">
        <v>529</v>
      </c>
      <c r="P629" s="180" t="s">
        <v>1048</v>
      </c>
      <c r="Q629" s="185">
        <v>0</v>
      </c>
      <c r="R629" s="183"/>
      <c r="S629" s="185">
        <v>9.2100000000000009</v>
      </c>
      <c r="T629" s="185">
        <v>-9.2100000000000009</v>
      </c>
    </row>
    <row r="630" ht="14.25">
      <c r="M630" s="184">
        <v>45471</v>
      </c>
      <c r="N630" s="183"/>
      <c r="O630" s="180" t="s">
        <v>529</v>
      </c>
      <c r="P630" s="180" t="s">
        <v>1048</v>
      </c>
      <c r="Q630" s="185">
        <v>0</v>
      </c>
      <c r="R630" s="183"/>
      <c r="S630" s="185">
        <v>7.0199999999999996</v>
      </c>
      <c r="T630" s="185">
        <v>-16.23</v>
      </c>
    </row>
    <row r="631" ht="14.25">
      <c r="M631" s="184">
        <v>45565</v>
      </c>
      <c r="N631" s="183"/>
      <c r="O631" s="180" t="s">
        <v>529</v>
      </c>
      <c r="P631" s="180" t="s">
        <v>1049</v>
      </c>
      <c r="Q631" s="185">
        <v>0</v>
      </c>
      <c r="R631" s="183"/>
      <c r="S631" s="185">
        <v>4</v>
      </c>
      <c r="T631" s="185">
        <v>-20.23</v>
      </c>
    </row>
    <row r="632" ht="14.25">
      <c r="M632" s="180" t="s">
        <v>242</v>
      </c>
      <c r="N632" s="183"/>
      <c r="O632" s="183"/>
      <c r="P632" s="183"/>
      <c r="Q632" s="185">
        <v>0</v>
      </c>
      <c r="R632" s="183"/>
      <c r="S632" s="185">
        <v>20.23</v>
      </c>
      <c r="T632" s="185">
        <v>-20.23</v>
      </c>
    </row>
    <row r="633" ht="14.25">
      <c r="M633" s="180" t="s">
        <v>1050</v>
      </c>
      <c r="N633" s="181" t="s">
        <v>1051</v>
      </c>
      <c r="O633" s="200"/>
      <c r="P633" s="183"/>
      <c r="Q633" s="183"/>
      <c r="R633" s="183"/>
      <c r="S633" s="183"/>
      <c r="T633" s="183"/>
    </row>
    <row r="634" ht="14.25">
      <c r="M634" s="184">
        <v>45327</v>
      </c>
      <c r="N634" s="183"/>
      <c r="O634" s="180" t="s">
        <v>529</v>
      </c>
      <c r="P634" s="180" t="s">
        <v>1052</v>
      </c>
      <c r="Q634" s="185">
        <v>0</v>
      </c>
      <c r="R634" s="183"/>
      <c r="S634" s="185">
        <v>500</v>
      </c>
      <c r="T634" s="185">
        <v>-500</v>
      </c>
    </row>
    <row r="635" ht="14.25">
      <c r="M635" s="184">
        <v>45356</v>
      </c>
      <c r="N635" s="183"/>
      <c r="O635" s="180" t="s">
        <v>529</v>
      </c>
      <c r="P635" s="180" t="s">
        <v>1053</v>
      </c>
      <c r="Q635" s="185">
        <v>0</v>
      </c>
      <c r="R635" s="183"/>
      <c r="S635" s="185">
        <v>500</v>
      </c>
      <c r="T635" s="185">
        <v>-1000</v>
      </c>
    </row>
    <row r="636" ht="14.25">
      <c r="M636" s="184">
        <v>45387</v>
      </c>
      <c r="N636" s="183"/>
      <c r="O636" s="180" t="s">
        <v>529</v>
      </c>
      <c r="P636" s="180" t="s">
        <v>1053</v>
      </c>
      <c r="Q636" s="185">
        <v>0</v>
      </c>
      <c r="R636" s="183"/>
      <c r="S636" s="185">
        <v>500</v>
      </c>
      <c r="T636" s="185">
        <v>-1500</v>
      </c>
    </row>
    <row r="637" ht="14.25">
      <c r="M637" s="184">
        <v>45419</v>
      </c>
      <c r="N637" s="183"/>
      <c r="O637" s="180" t="s">
        <v>529</v>
      </c>
      <c r="P637" s="180" t="s">
        <v>1054</v>
      </c>
      <c r="Q637" s="185">
        <v>0</v>
      </c>
      <c r="R637" s="183"/>
      <c r="S637" s="185">
        <v>500</v>
      </c>
      <c r="T637" s="185">
        <v>-2000</v>
      </c>
    </row>
    <row r="638" ht="14.25">
      <c r="M638" s="184">
        <v>45446</v>
      </c>
      <c r="N638" s="183"/>
      <c r="O638" s="180" t="s">
        <v>529</v>
      </c>
      <c r="P638" s="180" t="s">
        <v>1053</v>
      </c>
      <c r="Q638" s="185">
        <v>0</v>
      </c>
      <c r="R638" s="183"/>
      <c r="S638" s="185">
        <v>500</v>
      </c>
      <c r="T638" s="185">
        <v>-2500</v>
      </c>
    </row>
    <row r="639" ht="14.25">
      <c r="M639" s="184">
        <v>45551</v>
      </c>
      <c r="N639" s="183"/>
      <c r="O639" s="180" t="s">
        <v>529</v>
      </c>
      <c r="P639" s="180" t="s">
        <v>1055</v>
      </c>
      <c r="Q639" s="185">
        <v>0</v>
      </c>
      <c r="R639" s="183"/>
      <c r="S639" s="185">
        <v>500</v>
      </c>
      <c r="T639" s="185">
        <v>-3000</v>
      </c>
    </row>
    <row r="640" ht="14.25">
      <c r="M640" s="180" t="s">
        <v>242</v>
      </c>
      <c r="N640" s="183"/>
      <c r="O640" s="183"/>
      <c r="P640" s="183"/>
      <c r="Q640" s="185">
        <v>0</v>
      </c>
      <c r="R640" s="183"/>
      <c r="S640" s="185">
        <v>3000</v>
      </c>
      <c r="T640" s="185">
        <v>-3000</v>
      </c>
    </row>
    <row r="641" ht="14.25">
      <c r="M641" s="180" t="s">
        <v>551</v>
      </c>
      <c r="N641" s="183"/>
      <c r="O641" s="183"/>
      <c r="P641" s="183"/>
      <c r="Q641" s="185">
        <v>188686.84</v>
      </c>
      <c r="R641" s="183"/>
      <c r="S641" s="185">
        <v>376418.12</v>
      </c>
      <c r="T641" s="185">
        <v>-187731.28</v>
      </c>
    </row>
    <row r="642" ht="14.25">
      <c r="M642" s="181" t="s">
        <v>1056</v>
      </c>
      <c r="N642" s="183"/>
      <c r="O642" s="183"/>
      <c r="P642" s="183"/>
      <c r="Q642" s="185">
        <v>1649357.1799999999</v>
      </c>
      <c r="R642" s="183"/>
      <c r="S642" s="185">
        <v>1649357.1799999999</v>
      </c>
      <c r="T642" s="185">
        <v>0</v>
      </c>
    </row>
    <row r="643" ht="14.25">
      <c r="M643" s="181" t="s">
        <v>1057</v>
      </c>
      <c r="N643" s="183"/>
      <c r="O643" s="183"/>
      <c r="P643" s="183"/>
      <c r="Q643" s="185">
        <v>1649357.1799999999</v>
      </c>
      <c r="R643" s="183"/>
      <c r="S643" s="185">
        <v>1649357.1799999999</v>
      </c>
      <c r="T643" s="185">
        <v>0</v>
      </c>
    </row>
  </sheetData>
  <autoFilter ref="O1:O643"/>
  <mergeCells count="2">
    <mergeCell ref="D32:D33"/>
    <mergeCell ref="E32:E3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8" operator="greaterThan" id="{002C006B-0077-4F59-9CB5-00CD00AB0083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C52 D52</xm:sqref>
        </x14:conditionalFormatting>
        <x14:conditionalFormatting xmlns:xm="http://schemas.microsoft.com/office/excel/2006/main">
          <x14:cfRule type="cellIs" priority="27" operator="lessThan" id="{00D700D9-00DB-443D-9505-009C00CC002F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C52 D52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8" activeCellId="0" sqref="F18"/>
    </sheetView>
  </sheetViews>
  <sheetFormatPr baseColWidth="10" defaultRowHeight="14.25"/>
  <cols>
    <col customWidth="1" min="1" max="1" style="1" width="13.42578125"/>
    <col customWidth="1" min="2" max="3" style="1" width="16.28515625"/>
    <col bestFit="1" min="4" max="4" width="12.140625"/>
    <col bestFit="1" min="6" max="6" width="12.0234375"/>
    <col bestFit="1" min="8" max="8" width="15.57421875"/>
    <col bestFit="1" min="9" max="9" width="17.140625"/>
  </cols>
  <sheetData>
    <row r="1">
      <c r="A1" s="7" t="s">
        <v>0</v>
      </c>
      <c r="B1" s="7" t="s">
        <v>1</v>
      </c>
      <c r="C1" s="7" t="s">
        <v>2</v>
      </c>
      <c r="D1" s="9" t="s">
        <v>4</v>
      </c>
      <c r="E1" s="11" t="s">
        <v>1058</v>
      </c>
      <c r="F1" s="12" t="s">
        <v>217</v>
      </c>
    </row>
    <row r="2">
      <c r="A2" s="201">
        <v>45746</v>
      </c>
      <c r="B2" s="1" t="s">
        <v>50</v>
      </c>
      <c r="C2" s="1" t="s">
        <v>17</v>
      </c>
      <c r="D2" s="3">
        <f>90*7*3</f>
        <v>1890</v>
      </c>
      <c r="E2" s="18">
        <v>2</v>
      </c>
      <c r="F2" s="3">
        <f>D2/E2</f>
        <v>945</v>
      </c>
      <c r="G2">
        <v>945</v>
      </c>
      <c r="H2" s="26"/>
      <c r="I2" s="27" t="s">
        <v>65</v>
      </c>
    </row>
    <row r="3">
      <c r="A3" s="201">
        <v>45777</v>
      </c>
      <c r="B3" s="1" t="s">
        <v>50</v>
      </c>
      <c r="C3" s="1" t="s">
        <v>17</v>
      </c>
      <c r="D3" s="3">
        <f>3*90*3</f>
        <v>810</v>
      </c>
      <c r="E3">
        <v>1</v>
      </c>
      <c r="F3" s="3">
        <f>3*90*3</f>
        <v>810</v>
      </c>
      <c r="G3">
        <v>810</v>
      </c>
      <c r="H3" s="27" t="s">
        <v>71</v>
      </c>
      <c r="I3" s="29">
        <f>SUM(I4:I5)</f>
        <v>252490</v>
      </c>
    </row>
    <row r="4">
      <c r="A4" s="17">
        <v>45807</v>
      </c>
      <c r="B4" s="1" t="s">
        <v>50</v>
      </c>
      <c r="C4" s="1" t="s">
        <v>17</v>
      </c>
      <c r="D4" s="3">
        <f>3*5*90</f>
        <v>1350</v>
      </c>
      <c r="E4" s="45">
        <v>2</v>
      </c>
      <c r="F4" s="5">
        <f>D4/E4</f>
        <v>675</v>
      </c>
      <c r="G4">
        <v>675</v>
      </c>
      <c r="H4" s="34" t="s">
        <v>75</v>
      </c>
      <c r="I4" s="35">
        <f>SUM(D:D)</f>
        <v>247990</v>
      </c>
    </row>
    <row r="5">
      <c r="A5" s="201">
        <v>45688</v>
      </c>
      <c r="B5" s="15" t="s">
        <v>22</v>
      </c>
      <c r="C5" s="15" t="s">
        <v>17</v>
      </c>
      <c r="D5" s="3">
        <f>E5*F5</f>
        <v>950</v>
      </c>
      <c r="E5" s="18">
        <v>2</v>
      </c>
      <c r="F5" s="5">
        <v>475</v>
      </c>
      <c r="H5" s="38" t="s">
        <v>77</v>
      </c>
      <c r="I5" s="39">
        <v>4500</v>
      </c>
    </row>
    <row r="6">
      <c r="A6" s="201">
        <v>45746</v>
      </c>
      <c r="B6" s="1" t="s">
        <v>16</v>
      </c>
      <c r="C6" s="1" t="s">
        <v>17</v>
      </c>
      <c r="D6" s="3">
        <f>1890</f>
        <v>1890</v>
      </c>
      <c r="E6" s="18">
        <v>2</v>
      </c>
      <c r="F6" s="3">
        <f>D6/E6</f>
        <v>945</v>
      </c>
      <c r="G6">
        <v>945</v>
      </c>
      <c r="H6" s="40"/>
      <c r="I6" s="40"/>
    </row>
    <row r="7">
      <c r="A7" s="201">
        <v>45688</v>
      </c>
      <c r="B7" s="1" t="s">
        <v>1059</v>
      </c>
      <c r="C7" s="15" t="s">
        <v>17</v>
      </c>
      <c r="D7" s="3">
        <f t="shared" ref="D7:D9" si="86">E7*F7</f>
        <v>7800</v>
      </c>
      <c r="E7" s="45">
        <v>13</v>
      </c>
      <c r="F7" s="5">
        <v>600</v>
      </c>
      <c r="H7" s="26"/>
      <c r="I7" s="48" t="s">
        <v>65</v>
      </c>
    </row>
    <row r="8">
      <c r="A8" s="17">
        <v>45716</v>
      </c>
      <c r="B8" s="1" t="s">
        <v>1059</v>
      </c>
      <c r="C8" s="15" t="s">
        <v>17</v>
      </c>
      <c r="D8" s="3">
        <f t="shared" si="86"/>
        <v>7800</v>
      </c>
      <c r="E8" s="45">
        <v>13</v>
      </c>
      <c r="F8" s="5">
        <v>600</v>
      </c>
      <c r="H8" s="48" t="s">
        <v>88</v>
      </c>
      <c r="I8" s="49">
        <f>SUM(I9:I10)</f>
        <v>191508</v>
      </c>
    </row>
    <row r="9">
      <c r="A9" s="201">
        <v>45746</v>
      </c>
      <c r="B9" s="1" t="s">
        <v>1059</v>
      </c>
      <c r="C9" s="15" t="s">
        <v>17</v>
      </c>
      <c r="D9" s="3">
        <f t="shared" si="86"/>
        <v>7800</v>
      </c>
      <c r="E9" s="45">
        <v>13</v>
      </c>
      <c r="F9" s="5">
        <v>600</v>
      </c>
      <c r="H9" s="50" t="s">
        <v>90</v>
      </c>
      <c r="I9" s="51">
        <v>30000</v>
      </c>
    </row>
    <row r="10">
      <c r="A10" s="20">
        <v>45777</v>
      </c>
      <c r="B10" s="1" t="s">
        <v>1059</v>
      </c>
      <c r="C10" s="15" t="s">
        <v>17</v>
      </c>
      <c r="D10" s="3">
        <f t="shared" ref="D10:D47" si="87">E10*F10</f>
        <v>7800</v>
      </c>
      <c r="E10">
        <v>13</v>
      </c>
      <c r="F10" s="5">
        <v>600</v>
      </c>
      <c r="H10" s="52" t="s">
        <v>72</v>
      </c>
      <c r="I10" s="39">
        <f>1.42*2*4100*12+9000+1.42*3000*3</f>
        <v>161508</v>
      </c>
    </row>
    <row r="11">
      <c r="A11" s="17">
        <v>45807</v>
      </c>
      <c r="B11" s="1" t="s">
        <v>1059</v>
      </c>
      <c r="C11" s="15" t="s">
        <v>17</v>
      </c>
      <c r="D11" s="3">
        <f t="shared" si="87"/>
        <v>7800</v>
      </c>
      <c r="E11">
        <v>13</v>
      </c>
      <c r="F11" s="5">
        <v>600</v>
      </c>
      <c r="H11" s="18"/>
      <c r="I11" s="18"/>
    </row>
    <row r="12">
      <c r="A12" s="17">
        <v>45838</v>
      </c>
      <c r="B12" s="1" t="s">
        <v>1059</v>
      </c>
      <c r="C12" s="15" t="s">
        <v>17</v>
      </c>
      <c r="D12" s="3">
        <f t="shared" si="87"/>
        <v>7800</v>
      </c>
      <c r="E12">
        <v>13</v>
      </c>
      <c r="F12" s="5">
        <v>600</v>
      </c>
      <c r="H12" s="26"/>
      <c r="I12" s="53" t="s">
        <v>65</v>
      </c>
    </row>
    <row r="13">
      <c r="A13" s="17">
        <v>45868</v>
      </c>
      <c r="B13" s="1" t="s">
        <v>1059</v>
      </c>
      <c r="C13" s="15" t="s">
        <v>17</v>
      </c>
      <c r="D13" s="3">
        <f t="shared" si="87"/>
        <v>7800</v>
      </c>
      <c r="E13">
        <v>13</v>
      </c>
      <c r="F13" s="5">
        <v>600</v>
      </c>
      <c r="H13" s="54" t="s">
        <v>92</v>
      </c>
      <c r="I13" s="55">
        <f>I3-I8</f>
        <v>60982</v>
      </c>
    </row>
    <row r="14">
      <c r="A14" s="17">
        <v>45899</v>
      </c>
      <c r="B14" s="1" t="s">
        <v>1059</v>
      </c>
      <c r="C14" s="15" t="s">
        <v>17</v>
      </c>
      <c r="D14" s="3">
        <f t="shared" si="87"/>
        <v>7800</v>
      </c>
      <c r="E14" s="45">
        <v>13</v>
      </c>
      <c r="F14" s="5">
        <v>600</v>
      </c>
      <c r="H14" s="11"/>
      <c r="I14" s="103"/>
    </row>
    <row r="15">
      <c r="A15" s="17">
        <v>45930</v>
      </c>
      <c r="B15" s="1" t="s">
        <v>1059</v>
      </c>
      <c r="C15" s="15" t="s">
        <v>17</v>
      </c>
      <c r="D15" s="3">
        <f t="shared" si="87"/>
        <v>7800</v>
      </c>
      <c r="E15">
        <v>13</v>
      </c>
      <c r="F15" s="5">
        <v>600</v>
      </c>
    </row>
    <row r="16">
      <c r="A16" s="17">
        <v>45960</v>
      </c>
      <c r="B16" s="1" t="s">
        <v>1059</v>
      </c>
      <c r="C16" s="15" t="s">
        <v>17</v>
      </c>
      <c r="D16" s="3">
        <f t="shared" si="87"/>
        <v>7800</v>
      </c>
      <c r="E16" s="45">
        <v>13</v>
      </c>
      <c r="F16" s="5">
        <v>600</v>
      </c>
    </row>
    <row r="17">
      <c r="A17" s="17">
        <v>45991</v>
      </c>
      <c r="B17" s="1" t="s">
        <v>1059</v>
      </c>
      <c r="C17" s="15" t="s">
        <v>17</v>
      </c>
      <c r="D17" s="3">
        <f t="shared" si="87"/>
        <v>7800</v>
      </c>
      <c r="E17" s="45">
        <v>13</v>
      </c>
      <c r="F17" s="5">
        <v>600</v>
      </c>
      <c r="I17" s="27" t="s">
        <v>65</v>
      </c>
    </row>
    <row r="18" ht="16.5">
      <c r="A18" s="17">
        <v>46021</v>
      </c>
      <c r="B18" s="1" t="s">
        <v>1059</v>
      </c>
      <c r="C18" s="15" t="s">
        <v>17</v>
      </c>
      <c r="D18" s="3">
        <f t="shared" si="87"/>
        <v>7800</v>
      </c>
      <c r="E18">
        <v>13</v>
      </c>
      <c r="F18" s="5">
        <v>600</v>
      </c>
      <c r="H18" s="27" t="s">
        <v>71</v>
      </c>
      <c r="I18" s="202">
        <f>SUM(I19:I20)</f>
        <v>229090</v>
      </c>
    </row>
    <row r="19">
      <c r="A19" s="17">
        <v>45688</v>
      </c>
      <c r="B19" s="15" t="s">
        <v>19</v>
      </c>
      <c r="C19" s="15" t="s">
        <v>17</v>
      </c>
      <c r="D19" s="3">
        <f t="shared" si="87"/>
        <v>950</v>
      </c>
      <c r="E19">
        <v>2</v>
      </c>
      <c r="F19" s="5">
        <v>475</v>
      </c>
      <c r="H19" s="60" t="s">
        <v>93</v>
      </c>
      <c r="I19" s="51">
        <f>SUMIFS(D:D,C:C,"Alison")</f>
        <v>118490</v>
      </c>
    </row>
    <row r="20">
      <c r="A20" s="17">
        <v>45716</v>
      </c>
      <c r="B20" s="15" t="s">
        <v>19</v>
      </c>
      <c r="C20" s="15" t="s">
        <v>17</v>
      </c>
      <c r="D20" s="3">
        <f t="shared" si="87"/>
        <v>950</v>
      </c>
      <c r="E20" s="18">
        <v>2</v>
      </c>
      <c r="F20" s="5">
        <v>475</v>
      </c>
      <c r="H20" s="63" t="s">
        <v>94</v>
      </c>
      <c r="I20" s="97">
        <f>SUMIFS(D:D,C:C,"Gaetan")</f>
        <v>110600</v>
      </c>
    </row>
    <row r="21">
      <c r="A21" s="17">
        <v>45746</v>
      </c>
      <c r="B21" s="15" t="s">
        <v>19</v>
      </c>
      <c r="C21" s="15" t="s">
        <v>17</v>
      </c>
      <c r="D21" s="3">
        <f t="shared" si="87"/>
        <v>950</v>
      </c>
      <c r="E21" s="18">
        <v>2</v>
      </c>
      <c r="F21" s="5">
        <v>475</v>
      </c>
      <c r="H21" s="63" t="s">
        <v>1060</v>
      </c>
      <c r="I21" s="39">
        <f>I4-I18</f>
        <v>18900</v>
      </c>
    </row>
    <row r="22">
      <c r="A22" s="14">
        <v>45777</v>
      </c>
      <c r="B22" s="15" t="s">
        <v>19</v>
      </c>
      <c r="C22" s="15" t="s">
        <v>17</v>
      </c>
      <c r="D22" s="3">
        <f t="shared" si="87"/>
        <v>950</v>
      </c>
      <c r="E22" s="18">
        <v>2</v>
      </c>
      <c r="F22" s="5">
        <v>475</v>
      </c>
      <c r="I22" s="33"/>
    </row>
    <row r="23">
      <c r="A23" s="17">
        <v>45777</v>
      </c>
      <c r="B23" s="15" t="s">
        <v>1061</v>
      </c>
      <c r="C23" s="15" t="s">
        <v>17</v>
      </c>
      <c r="D23" s="3">
        <v>900</v>
      </c>
      <c r="E23">
        <v>1</v>
      </c>
      <c r="F23" s="5">
        <v>900</v>
      </c>
    </row>
    <row r="24">
      <c r="A24" s="201">
        <v>45688</v>
      </c>
      <c r="B24" s="1" t="s">
        <v>26</v>
      </c>
      <c r="C24" s="15" t="s">
        <v>13</v>
      </c>
      <c r="D24" s="3">
        <f t="shared" si="87"/>
        <v>7000</v>
      </c>
      <c r="E24">
        <v>14</v>
      </c>
      <c r="F24" s="16">
        <v>500</v>
      </c>
      <c r="J24" s="201"/>
    </row>
    <row r="25">
      <c r="A25" s="17">
        <v>45716</v>
      </c>
      <c r="B25" s="1" t="s">
        <v>26</v>
      </c>
      <c r="C25" s="15" t="s">
        <v>13</v>
      </c>
      <c r="D25" s="3">
        <f t="shared" si="87"/>
        <v>7000</v>
      </c>
      <c r="E25">
        <v>14</v>
      </c>
      <c r="F25" s="16">
        <v>500</v>
      </c>
      <c r="H25" s="18"/>
      <c r="I25" s="11"/>
      <c r="J25" s="201"/>
    </row>
    <row r="26">
      <c r="A26" s="201">
        <v>45746</v>
      </c>
      <c r="B26" s="1" t="s">
        <v>26</v>
      </c>
      <c r="C26" s="15" t="s">
        <v>13</v>
      </c>
      <c r="D26" s="3">
        <f t="shared" si="87"/>
        <v>7000</v>
      </c>
      <c r="E26" s="45">
        <v>14</v>
      </c>
      <c r="F26" s="16">
        <v>500</v>
      </c>
      <c r="J26" s="201"/>
    </row>
    <row r="27">
      <c r="A27" s="20">
        <v>45777</v>
      </c>
      <c r="B27" s="1" t="s">
        <v>26</v>
      </c>
      <c r="C27" s="15" t="s">
        <v>13</v>
      </c>
      <c r="D27" s="3">
        <f t="shared" si="87"/>
        <v>7000</v>
      </c>
      <c r="E27" s="45">
        <v>14</v>
      </c>
      <c r="F27" s="16">
        <v>500</v>
      </c>
      <c r="H27" s="11"/>
      <c r="J27" s="14"/>
    </row>
    <row r="28">
      <c r="A28" s="201">
        <v>45807</v>
      </c>
      <c r="B28" s="1" t="s">
        <v>26</v>
      </c>
      <c r="C28" s="15" t="s">
        <v>13</v>
      </c>
      <c r="D28" s="3">
        <f t="shared" si="87"/>
        <v>3000</v>
      </c>
      <c r="E28">
        <v>6</v>
      </c>
      <c r="F28" s="16">
        <v>500</v>
      </c>
      <c r="H28" s="45"/>
      <c r="I28" s="61"/>
      <c r="J28" s="201"/>
    </row>
    <row r="29">
      <c r="A29" s="201">
        <v>45838</v>
      </c>
      <c r="B29" s="1" t="s">
        <v>26</v>
      </c>
      <c r="C29" s="15" t="s">
        <v>13</v>
      </c>
      <c r="D29" s="3">
        <f t="shared" si="87"/>
        <v>7000</v>
      </c>
      <c r="E29">
        <v>14</v>
      </c>
      <c r="F29" s="16">
        <v>500</v>
      </c>
      <c r="H29" s="45"/>
      <c r="I29" s="61"/>
      <c r="J29" s="201"/>
    </row>
    <row r="30">
      <c r="A30" s="201">
        <v>45868</v>
      </c>
      <c r="B30" s="1" t="s">
        <v>26</v>
      </c>
      <c r="C30" s="15" t="s">
        <v>13</v>
      </c>
      <c r="D30" s="3">
        <f t="shared" si="87"/>
        <v>7000</v>
      </c>
      <c r="E30">
        <v>14</v>
      </c>
      <c r="F30" s="16">
        <v>500</v>
      </c>
      <c r="J30" s="201"/>
    </row>
    <row r="31">
      <c r="A31" s="17">
        <v>45899</v>
      </c>
      <c r="B31" s="1" t="s">
        <v>26</v>
      </c>
      <c r="C31" s="15" t="s">
        <v>13</v>
      </c>
      <c r="D31" s="3">
        <f t="shared" si="87"/>
        <v>7000</v>
      </c>
      <c r="E31" s="45">
        <v>14</v>
      </c>
      <c r="F31" s="16">
        <v>500</v>
      </c>
      <c r="J31" s="201"/>
    </row>
    <row r="32">
      <c r="A32" s="17">
        <v>45930</v>
      </c>
      <c r="B32" s="1" t="s">
        <v>63</v>
      </c>
      <c r="C32" s="15" t="s">
        <v>13</v>
      </c>
      <c r="D32" s="3">
        <f t="shared" si="87"/>
        <v>7700</v>
      </c>
      <c r="E32" s="45">
        <v>14</v>
      </c>
      <c r="F32" s="16">
        <v>550</v>
      </c>
      <c r="J32" s="201"/>
    </row>
    <row r="33">
      <c r="A33" s="201">
        <v>45960</v>
      </c>
      <c r="B33" s="1" t="s">
        <v>63</v>
      </c>
      <c r="C33" s="15" t="s">
        <v>13</v>
      </c>
      <c r="D33" s="3">
        <f t="shared" si="87"/>
        <v>7700</v>
      </c>
      <c r="E33" s="45">
        <v>14</v>
      </c>
      <c r="F33" s="16">
        <v>550</v>
      </c>
      <c r="J33" s="201"/>
    </row>
    <row r="34">
      <c r="A34" s="201">
        <v>45991</v>
      </c>
      <c r="B34" s="1" t="s">
        <v>63</v>
      </c>
      <c r="C34" s="15" t="s">
        <v>13</v>
      </c>
      <c r="D34" s="3">
        <f t="shared" si="87"/>
        <v>7700</v>
      </c>
      <c r="E34" s="45">
        <v>14</v>
      </c>
      <c r="F34" s="16">
        <v>550</v>
      </c>
      <c r="J34" s="201"/>
    </row>
    <row r="35">
      <c r="A35" s="201">
        <v>46021</v>
      </c>
      <c r="B35" s="1" t="s">
        <v>63</v>
      </c>
      <c r="C35" s="15" t="s">
        <v>13</v>
      </c>
      <c r="D35" s="3">
        <f t="shared" si="87"/>
        <v>7700</v>
      </c>
      <c r="E35" s="45">
        <v>14</v>
      </c>
      <c r="F35" s="16">
        <v>550</v>
      </c>
      <c r="J35" s="201"/>
    </row>
    <row r="36">
      <c r="A36" s="201">
        <v>45688</v>
      </c>
      <c r="B36" s="15" t="s">
        <v>19</v>
      </c>
      <c r="C36" s="15" t="s">
        <v>13</v>
      </c>
      <c r="D36" s="3">
        <f t="shared" si="87"/>
        <v>950</v>
      </c>
      <c r="E36">
        <v>2</v>
      </c>
      <c r="F36" s="5">
        <v>475</v>
      </c>
    </row>
    <row r="37">
      <c r="A37" s="17">
        <v>45716</v>
      </c>
      <c r="B37" s="15" t="s">
        <v>19</v>
      </c>
      <c r="C37" s="15" t="s">
        <v>13</v>
      </c>
      <c r="D37" s="3">
        <f t="shared" si="87"/>
        <v>475</v>
      </c>
      <c r="E37">
        <v>1</v>
      </c>
      <c r="F37" s="5">
        <v>475</v>
      </c>
    </row>
    <row r="38">
      <c r="A38" s="17">
        <v>45746</v>
      </c>
      <c r="B38" s="15" t="s">
        <v>19</v>
      </c>
      <c r="C38" s="15" t="s">
        <v>13</v>
      </c>
      <c r="D38" s="3">
        <f t="shared" si="87"/>
        <v>950</v>
      </c>
      <c r="E38">
        <v>2</v>
      </c>
      <c r="F38" s="5">
        <v>475</v>
      </c>
    </row>
    <row r="39">
      <c r="A39" s="201">
        <v>45807</v>
      </c>
      <c r="B39" s="15" t="s">
        <v>19</v>
      </c>
      <c r="C39" s="15" t="s">
        <v>13</v>
      </c>
      <c r="D39" s="3">
        <f t="shared" si="87"/>
        <v>950</v>
      </c>
      <c r="E39" s="18">
        <v>2</v>
      </c>
      <c r="F39" s="5">
        <v>475</v>
      </c>
    </row>
    <row r="40">
      <c r="A40" s="201">
        <v>45838</v>
      </c>
      <c r="B40" s="15" t="s">
        <v>19</v>
      </c>
      <c r="C40" s="15" t="s">
        <v>13</v>
      </c>
      <c r="D40" s="3">
        <f t="shared" si="87"/>
        <v>950</v>
      </c>
      <c r="E40">
        <v>2</v>
      </c>
      <c r="F40" s="5">
        <v>475</v>
      </c>
    </row>
    <row r="41">
      <c r="A41" s="201">
        <v>45930</v>
      </c>
      <c r="B41" s="15" t="s">
        <v>19</v>
      </c>
      <c r="C41" s="15" t="s">
        <v>13</v>
      </c>
      <c r="D41" s="3">
        <f t="shared" si="87"/>
        <v>1425</v>
      </c>
      <c r="E41" s="18">
        <v>3</v>
      </c>
      <c r="F41" s="5">
        <v>475</v>
      </c>
    </row>
    <row r="42">
      <c r="A42" s="17">
        <v>45991</v>
      </c>
      <c r="B42" s="15" t="s">
        <v>19</v>
      </c>
      <c r="C42" s="15" t="s">
        <v>13</v>
      </c>
      <c r="D42" s="3">
        <f t="shared" si="87"/>
        <v>950</v>
      </c>
      <c r="E42" s="45">
        <v>2</v>
      </c>
      <c r="F42" s="5">
        <v>475</v>
      </c>
    </row>
    <row r="43">
      <c r="A43" s="17">
        <v>45716</v>
      </c>
      <c r="B43" s="1" t="s">
        <v>1062</v>
      </c>
      <c r="C43" s="1" t="s">
        <v>80</v>
      </c>
      <c r="D43" s="3">
        <f t="shared" si="87"/>
        <v>6300</v>
      </c>
      <c r="E43" s="18">
        <v>18</v>
      </c>
      <c r="F43" s="5">
        <v>350</v>
      </c>
    </row>
    <row r="44">
      <c r="A44" s="17">
        <v>45746</v>
      </c>
      <c r="B44" s="1" t="s">
        <v>1062</v>
      </c>
      <c r="C44" s="1" t="s">
        <v>80</v>
      </c>
      <c r="D44" s="3">
        <f t="shared" si="87"/>
        <v>6300</v>
      </c>
      <c r="E44" s="18">
        <v>18</v>
      </c>
      <c r="F44" s="5">
        <v>350</v>
      </c>
    </row>
    <row r="45">
      <c r="A45" s="17">
        <v>45746</v>
      </c>
      <c r="B45" s="1" t="s">
        <v>1062</v>
      </c>
      <c r="C45" s="15" t="s">
        <v>80</v>
      </c>
      <c r="D45" s="3">
        <f t="shared" si="87"/>
        <v>6300</v>
      </c>
      <c r="E45" s="18">
        <v>18</v>
      </c>
      <c r="F45" s="5">
        <v>350</v>
      </c>
    </row>
    <row r="46">
      <c r="A46" s="14">
        <v>45688</v>
      </c>
      <c r="B46" s="1" t="s">
        <v>37</v>
      </c>
      <c r="C46" s="15" t="s">
        <v>13</v>
      </c>
      <c r="D46" s="3">
        <f t="shared" si="87"/>
        <v>6400</v>
      </c>
      <c r="E46" s="18">
        <v>8</v>
      </c>
      <c r="F46" s="5">
        <v>800</v>
      </c>
    </row>
    <row r="47">
      <c r="A47" s="14">
        <v>45688</v>
      </c>
      <c r="B47" s="1" t="s">
        <v>1063</v>
      </c>
      <c r="C47" s="15" t="s">
        <v>17</v>
      </c>
      <c r="D47" s="3">
        <f t="shared" si="87"/>
        <v>12000</v>
      </c>
      <c r="E47" s="18">
        <v>15</v>
      </c>
      <c r="F47" s="5">
        <v>800</v>
      </c>
    </row>
    <row r="48">
      <c r="A48" s="20">
        <v>45688</v>
      </c>
      <c r="B48" s="15" t="s">
        <v>22</v>
      </c>
      <c r="C48" s="15" t="s">
        <v>17</v>
      </c>
      <c r="D48" s="3">
        <f>2*650</f>
        <v>1300</v>
      </c>
      <c r="E48">
        <v>2</v>
      </c>
      <c r="F48" s="16">
        <v>650</v>
      </c>
    </row>
    <row r="49">
      <c r="A49" s="20">
        <v>45688</v>
      </c>
      <c r="B49" s="1" t="s">
        <v>54</v>
      </c>
      <c r="C49" s="15" t="s">
        <v>13</v>
      </c>
      <c r="D49" s="3">
        <f t="shared" ref="D49:D50" si="88">E49*F49</f>
        <v>5000</v>
      </c>
      <c r="E49" s="18">
        <v>1</v>
      </c>
      <c r="F49" s="5">
        <v>5000</v>
      </c>
    </row>
    <row r="50">
      <c r="A50" s="20">
        <v>45688</v>
      </c>
      <c r="B50" s="1" t="s">
        <v>166</v>
      </c>
      <c r="C50" s="15" t="s">
        <v>13</v>
      </c>
      <c r="D50" s="3">
        <f t="shared" si="88"/>
        <v>9750</v>
      </c>
      <c r="E50" s="18">
        <v>15</v>
      </c>
      <c r="F50" s="5">
        <v>650</v>
      </c>
    </row>
    <row r="51">
      <c r="A51" s="20"/>
      <c r="B51" s="15"/>
      <c r="C51" s="15"/>
      <c r="D51" s="3"/>
      <c r="F51" s="5"/>
    </row>
    <row r="52">
      <c r="A52" s="20"/>
      <c r="B52" s="15"/>
      <c r="C52" s="15"/>
      <c r="D52" s="3"/>
      <c r="F52" s="16"/>
    </row>
    <row r="53">
      <c r="A53" s="20"/>
      <c r="B53" s="15"/>
      <c r="C53" s="15"/>
      <c r="D53" s="3"/>
      <c r="F53" s="16"/>
    </row>
    <row r="54">
      <c r="A54" s="20"/>
      <c r="B54" s="1"/>
      <c r="C54" s="15"/>
      <c r="D54" s="3"/>
      <c r="F54" s="5"/>
    </row>
    <row r="55">
      <c r="A55" s="20"/>
      <c r="B55" s="15"/>
      <c r="C55" s="15"/>
      <c r="D55" s="3"/>
      <c r="F55" s="5"/>
    </row>
    <row r="56">
      <c r="A56" s="20"/>
      <c r="B56" s="15"/>
      <c r="C56" s="15"/>
      <c r="D56" s="3"/>
      <c r="F56" s="16"/>
    </row>
    <row r="57">
      <c r="A57" s="20"/>
      <c r="B57" s="15"/>
      <c r="C57" s="15"/>
      <c r="D57" s="3"/>
      <c r="F57" s="16"/>
    </row>
    <row r="58">
      <c r="A58" s="20"/>
      <c r="B58" s="1"/>
      <c r="C58" s="15"/>
      <c r="D58" s="3"/>
      <c r="F58" s="16"/>
    </row>
    <row r="59">
      <c r="A59" s="20"/>
      <c r="B59" s="1"/>
      <c r="C59" s="15"/>
      <c r="D59" s="3"/>
      <c r="F59" s="5"/>
    </row>
    <row r="60">
      <c r="A60" s="20"/>
      <c r="B60" s="15"/>
      <c r="C60" s="15"/>
      <c r="D60" s="3"/>
      <c r="F60" s="5"/>
    </row>
    <row r="61">
      <c r="A61" s="20"/>
      <c r="B61" s="15"/>
      <c r="C61" s="15"/>
      <c r="D61" s="3"/>
      <c r="F61" s="16"/>
    </row>
    <row r="62">
      <c r="A62" s="20"/>
      <c r="B62" s="15"/>
      <c r="C62" s="15"/>
      <c r="D62" s="3"/>
      <c r="F62" s="16"/>
    </row>
    <row r="63">
      <c r="A63" s="20"/>
      <c r="B63" s="1"/>
      <c r="C63" s="15"/>
      <c r="D63" s="3"/>
      <c r="F63" s="16"/>
    </row>
    <row r="64">
      <c r="A64" s="20"/>
      <c r="B64" s="15"/>
      <c r="C64" s="15"/>
      <c r="D64" s="3"/>
      <c r="F64" s="5"/>
    </row>
    <row r="65">
      <c r="A65" s="20"/>
      <c r="B65" s="15"/>
      <c r="C65" s="15"/>
      <c r="D65" s="3"/>
      <c r="F65" s="16"/>
    </row>
    <row r="66">
      <c r="A66" s="20"/>
      <c r="B66" s="15"/>
      <c r="C66" s="15"/>
      <c r="D66" s="3"/>
      <c r="F66" s="16"/>
    </row>
    <row r="67">
      <c r="A67" s="20"/>
      <c r="B67" s="1"/>
      <c r="C67" s="15"/>
      <c r="D67" s="3"/>
      <c r="F67" s="16"/>
    </row>
    <row r="68">
      <c r="A68" s="20"/>
      <c r="B68" s="15"/>
      <c r="C68" s="15"/>
      <c r="D68" s="3"/>
      <c r="F68" s="16"/>
    </row>
    <row r="69">
      <c r="A69" s="20"/>
      <c r="B69" s="15"/>
      <c r="C69" s="15"/>
      <c r="D69" s="3"/>
      <c r="F69" s="16"/>
    </row>
    <row r="70">
      <c r="A70" s="20"/>
      <c r="B70" s="1"/>
      <c r="C70" s="15"/>
      <c r="D70" s="3"/>
      <c r="F70" s="16"/>
    </row>
    <row r="71">
      <c r="A71" s="20"/>
      <c r="B71" s="15"/>
      <c r="C71" s="15"/>
      <c r="D71" s="3"/>
      <c r="F71" s="5"/>
    </row>
    <row r="72">
      <c r="A72" s="20"/>
      <c r="B72" s="1"/>
      <c r="C72" s="1"/>
      <c r="D72" s="3"/>
      <c r="F72" s="5"/>
    </row>
    <row r="73">
      <c r="D73" s="3"/>
      <c r="F73" s="5"/>
    </row>
    <row r="74">
      <c r="D74" s="3"/>
      <c r="F74" s="5"/>
    </row>
    <row r="75">
      <c r="D75" s="3"/>
      <c r="F75" s="5"/>
    </row>
    <row r="76">
      <c r="D76" s="3"/>
      <c r="F76" s="5"/>
    </row>
    <row r="77">
      <c r="D77" s="3"/>
      <c r="F77" s="5"/>
    </row>
    <row r="78">
      <c r="D78" s="3"/>
      <c r="F78" s="5"/>
    </row>
    <row r="79">
      <c r="D79" s="3"/>
      <c r="F79" s="5"/>
    </row>
    <row r="80">
      <c r="D80" s="3"/>
      <c r="F80" s="5"/>
    </row>
    <row r="81">
      <c r="D81" s="3"/>
      <c r="F81" s="5"/>
    </row>
    <row r="82">
      <c r="D82" s="3"/>
      <c r="F82" s="5"/>
    </row>
    <row r="83">
      <c r="D83" s="3"/>
      <c r="F83" s="5"/>
    </row>
    <row r="84">
      <c r="D84" s="3"/>
      <c r="F84" s="5"/>
    </row>
    <row r="85">
      <c r="D85" s="3"/>
      <c r="F85" s="5"/>
    </row>
    <row r="86">
      <c r="D86" s="3"/>
      <c r="F86" s="5"/>
    </row>
    <row r="87">
      <c r="D87" s="3"/>
      <c r="F87" s="5"/>
    </row>
    <row r="88">
      <c r="D88" s="3"/>
      <c r="F88" s="5"/>
    </row>
    <row r="89">
      <c r="D89" s="3"/>
      <c r="F89" s="5"/>
    </row>
    <row r="90">
      <c r="D90" s="3"/>
      <c r="F90" s="5"/>
    </row>
    <row r="91">
      <c r="D91" s="3"/>
      <c r="F91" s="5"/>
    </row>
    <row r="92">
      <c r="D92" s="3"/>
      <c r="F92" s="5"/>
    </row>
    <row r="93">
      <c r="D93" s="3"/>
      <c r="F93" s="5"/>
    </row>
    <row r="94">
      <c r="D94" s="3"/>
      <c r="F94" s="5"/>
    </row>
    <row r="95">
      <c r="D95" s="3"/>
      <c r="F95" s="5"/>
    </row>
    <row r="96">
      <c r="D96" s="3"/>
      <c r="F96" s="5"/>
    </row>
    <row r="97">
      <c r="D97" s="3"/>
      <c r="F97" s="5"/>
    </row>
    <row r="98">
      <c r="D98" s="3"/>
      <c r="F98" s="5"/>
    </row>
    <row r="99">
      <c r="D99" s="3"/>
      <c r="F99" s="5"/>
    </row>
    <row r="100">
      <c r="D100" s="3"/>
      <c r="F100" s="5"/>
    </row>
    <row r="101">
      <c r="D101" s="3"/>
      <c r="F101" s="5"/>
    </row>
    <row r="102">
      <c r="D102" s="3"/>
      <c r="F102" s="5"/>
    </row>
    <row r="103">
      <c r="D103" s="3"/>
      <c r="F103" s="5"/>
    </row>
    <row r="104">
      <c r="D104" s="3"/>
      <c r="F104" s="5"/>
    </row>
    <row r="105">
      <c r="D105" s="3"/>
      <c r="F105" s="5"/>
    </row>
    <row r="106">
      <c r="D106" s="3"/>
      <c r="F106" s="5"/>
    </row>
    <row r="107">
      <c r="D107" s="3"/>
      <c r="F107" s="5"/>
    </row>
    <row r="108">
      <c r="D108" s="3"/>
      <c r="F108" s="5"/>
    </row>
    <row r="109">
      <c r="D109" s="3"/>
      <c r="F109" s="5"/>
    </row>
    <row r="110">
      <c r="D110" s="3"/>
      <c r="F110" s="5"/>
    </row>
    <row r="111">
      <c r="D111" s="3"/>
      <c r="F111" s="5"/>
    </row>
    <row r="112">
      <c r="D112" s="3"/>
      <c r="F112" s="5"/>
    </row>
    <row r="113">
      <c r="D113" s="3"/>
      <c r="F113" s="5"/>
    </row>
    <row r="114">
      <c r="D114" s="3"/>
      <c r="F114" s="5"/>
    </row>
    <row r="115">
      <c r="D115" s="3"/>
      <c r="F115" s="5"/>
    </row>
    <row r="116">
      <c r="D116" s="3"/>
      <c r="F116" s="5"/>
    </row>
    <row r="117">
      <c r="D117" s="3"/>
      <c r="F117" s="5"/>
    </row>
    <row r="118">
      <c r="D118" s="3"/>
      <c r="F118" s="5"/>
    </row>
    <row r="119">
      <c r="D119" s="3"/>
      <c r="F119" s="5"/>
    </row>
    <row r="120">
      <c r="D120" s="3"/>
      <c r="F120" s="5"/>
    </row>
    <row r="121">
      <c r="D121" s="3"/>
      <c r="F121" s="5"/>
    </row>
    <row r="122">
      <c r="D122" s="3"/>
      <c r="F122" s="5"/>
    </row>
    <row r="123">
      <c r="D123" s="3"/>
      <c r="F123" s="5"/>
    </row>
    <row r="124">
      <c r="D124" s="3"/>
      <c r="F124" s="5"/>
    </row>
    <row r="125">
      <c r="D125" s="3"/>
      <c r="F125" s="5"/>
    </row>
    <row r="126">
      <c r="D126" s="3"/>
      <c r="F126" s="5"/>
    </row>
    <row r="127">
      <c r="D127" s="3"/>
      <c r="F127" s="5"/>
    </row>
    <row r="128">
      <c r="D128" s="3"/>
      <c r="F128" s="5"/>
    </row>
    <row r="129">
      <c r="D129" s="3"/>
      <c r="F129" s="5"/>
    </row>
    <row r="130">
      <c r="D130" s="3"/>
      <c r="F130" s="5"/>
    </row>
    <row r="131">
      <c r="D131" s="3"/>
      <c r="F131" s="5"/>
    </row>
    <row r="132">
      <c r="D132" s="3"/>
      <c r="F132" s="5"/>
    </row>
    <row r="133">
      <c r="D133" s="3"/>
      <c r="F133" s="5"/>
    </row>
    <row r="134">
      <c r="D134" s="3"/>
      <c r="F134" s="5"/>
    </row>
    <row r="135">
      <c r="D135" s="3"/>
      <c r="F135" s="5"/>
    </row>
    <row r="136">
      <c r="D136" s="3"/>
      <c r="F136" s="5"/>
    </row>
    <row r="137">
      <c r="D137" s="3"/>
      <c r="F137" s="5"/>
    </row>
    <row r="138">
      <c r="D138" s="3"/>
      <c r="F138" s="5"/>
    </row>
    <row r="139">
      <c r="D139" s="3"/>
      <c r="F139" s="5"/>
    </row>
    <row r="140">
      <c r="D140" s="3"/>
      <c r="F140" s="5"/>
    </row>
    <row r="141">
      <c r="D141" s="3"/>
      <c r="F141" s="5"/>
    </row>
    <row r="142">
      <c r="D142" s="3"/>
      <c r="F142" s="5"/>
    </row>
    <row r="143">
      <c r="D143" s="3"/>
      <c r="F143" s="5"/>
    </row>
    <row r="144">
      <c r="D144" s="3"/>
      <c r="F144" s="5"/>
    </row>
    <row r="145">
      <c r="D145" s="3"/>
      <c r="F145" s="5"/>
    </row>
  </sheetData>
  <autoFilter ref="A1:F145">
    <sortState ref="C1:C145">
      <sortCondition descending="0" ref="C1:C145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0" operator="containsText" text="non" id="{0045004A-0084-4AA7-B3E2-006C009E00E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containsText" priority="277" operator="containsText" text="non" id="{00BA00EA-0065-4136-A2B7-004700A4002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containsText" priority="276" operator="containsText" text="non" id="{005D0096-0090-422E-9BFA-002500B7001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E31 E32 E33 E34 E35 E36 E37 E38 E39 E40 E41 E42</xm:sqref>
        </x14:conditionalFormatting>
        <x14:conditionalFormatting xmlns:xm="http://schemas.microsoft.com/office/excel/2006/main">
          <x14:cfRule type="containsText" priority="276" operator="containsText" text="non" id="{00EE0071-00C9-470E-9D12-00F00032005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containsText" priority="274" operator="containsText" text="non" id="{008D0054-006A-4D61-9656-002000DD006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ontainsText" priority="274" operator="containsText" text="non" id="{001100FF-008B-4600-A843-00A1009B000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ontainsText" priority="271" operator="containsText" text="non" id="{001000CE-0011-40B4-A1A7-007B0024004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271" operator="containsText" text="non" id="{00EF003F-001C-4288-96EB-00AA00BE004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265" operator="containsText" text="non" id="{00D800E8-0052-43C9-B778-00FE005F00F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E48 E51 E53 E55 E57 E60 E62 E64 E66 E68 E70 E44</xm:sqref>
        </x14:conditionalFormatting>
        <x14:conditionalFormatting xmlns:xm="http://schemas.microsoft.com/office/excel/2006/main">
          <x14:cfRule type="containsText" priority="259" operator="containsText" text="non" id="{005600FF-001C-4D14-A4DD-001D008900E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 E25 E25 E24:E26 E26</xm:sqref>
        </x14:conditionalFormatting>
        <x14:conditionalFormatting xmlns:xm="http://schemas.microsoft.com/office/excel/2006/main">
          <x14:cfRule type="containsText" priority="259" operator="containsText" text="non" id="{00CE0004-0095-4E8B-83FD-00C7007A004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259" operator="containsText" text="non" id="{00C400CB-005F-42CB-9545-002000AF005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59" operator="containsText" text="non" id="{00080060-0008-4A1B-94E3-001F00C900B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259" operator="containsText" text="non" id="{00D900FC-00F5-4199-A55D-00F6007D009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E23</xm:sqref>
        </x14:conditionalFormatting>
        <x14:conditionalFormatting xmlns:xm="http://schemas.microsoft.com/office/excel/2006/main">
          <x14:cfRule type="containsText" priority="259" operator="containsText" text="non" id="{00AC00C9-00D2-4A58-950A-00CD00C3006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256" operator="containsText" text="non" id="{00070010-0052-4048-83C4-008700E9008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 E2 E25 E3 E4 E5 E6 E7 E8 E9 E10 E11 E12 E13 E25 E24:E26 E26</xm:sqref>
        </x14:conditionalFormatting>
        <x14:conditionalFormatting xmlns:xm="http://schemas.microsoft.com/office/excel/2006/main">
          <x14:cfRule type="containsText" priority="256" operator="containsText" text="non" id="{00C9003F-00F0-4D38-9CEC-00900030001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256" operator="containsText" text="non" id="{009A00E1-006C-4E2B-AAE4-006F0035006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56" operator="containsText" text="non" id="{00010034-005E-4580-B09B-009500AE002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256" operator="containsText" text="non" id="{00290097-005E-4A0E-BF7B-004D00BB004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E23</xm:sqref>
        </x14:conditionalFormatting>
        <x14:conditionalFormatting xmlns:xm="http://schemas.microsoft.com/office/excel/2006/main">
          <x14:cfRule type="containsText" priority="256" operator="containsText" text="non" id="{0085008F-009F-4817-ABC1-00600027008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256" operator="containsText" text="non" id="{009A009A-006E-4B6B-996C-008D00FF00D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ontainsText" priority="256" operator="containsText" text="non" id="{00D4009E-0056-438D-A7FC-0022002F001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255" operator="containsText" text="non" id="{00D80049-00FA-494A-801E-006300EC001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E120</xm:sqref>
        </x14:conditionalFormatting>
        <x14:conditionalFormatting xmlns:xm="http://schemas.microsoft.com/office/excel/2006/main">
          <x14:cfRule type="containsText" priority="254" operator="containsText" text="non" id="{001D00BE-002D-4748-B64F-009E00A9002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E116</xm:sqref>
        </x14:conditionalFormatting>
        <x14:conditionalFormatting xmlns:xm="http://schemas.microsoft.com/office/excel/2006/main">
          <x14:cfRule type="containsText" priority="253" operator="containsText" text="non" id="{00D60032-00B6-44B9-ADE5-001C004B002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E114</xm:sqref>
        </x14:conditionalFormatting>
        <x14:conditionalFormatting xmlns:xm="http://schemas.microsoft.com/office/excel/2006/main">
          <x14:cfRule type="containsText" priority="252" operator="containsText" text="non" id="{00BD0046-0011-43AB-AC68-0073005400E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E121</xm:sqref>
        </x14:conditionalFormatting>
        <x14:conditionalFormatting xmlns:xm="http://schemas.microsoft.com/office/excel/2006/main">
          <x14:cfRule type="containsText" priority="251" operator="containsText" text="non" id="{00C6001F-0026-4BA4-A46D-00DD00AA00F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E103</xm:sqref>
        </x14:conditionalFormatting>
        <x14:conditionalFormatting xmlns:xm="http://schemas.microsoft.com/office/excel/2006/main">
          <x14:cfRule type="containsText" priority="250" operator="containsText" text="non" id="{00170035-00BD-4DEB-9E7E-00FF00BD00D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E123</xm:sqref>
        </x14:conditionalFormatting>
        <x14:conditionalFormatting xmlns:xm="http://schemas.microsoft.com/office/excel/2006/main">
          <x14:cfRule type="containsText" priority="249" operator="containsText" text="non" id="{00EE0098-00E1-4B08-B0EC-00AF0052000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E122</xm:sqref>
        </x14:conditionalFormatting>
        <x14:conditionalFormatting xmlns:xm="http://schemas.microsoft.com/office/excel/2006/main">
          <x14:cfRule type="containsText" priority="248" operator="containsText" text="non" id="{001A009D-00A7-481D-97E5-0060000B003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E107</xm:sqref>
        </x14:conditionalFormatting>
        <x14:conditionalFormatting xmlns:xm="http://schemas.microsoft.com/office/excel/2006/main">
          <x14:cfRule type="containsText" priority="247" operator="containsText" text="non" id="{007100BB-0081-4CA1-AE34-0062007A005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E106</xm:sqref>
        </x14:conditionalFormatting>
        <x14:conditionalFormatting xmlns:xm="http://schemas.microsoft.com/office/excel/2006/main">
          <x14:cfRule type="containsText" priority="245" operator="containsText" text="non" id="{00810041-00BF-4E78-AD85-008900BA003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E104</xm:sqref>
        </x14:conditionalFormatting>
        <x14:conditionalFormatting xmlns:xm="http://schemas.microsoft.com/office/excel/2006/main">
          <x14:cfRule type="containsText" priority="244" operator="containsText" text="non" id="{00070007-00DC-4AD1-8CCE-004300F00011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E102</xm:sqref>
        </x14:conditionalFormatting>
        <x14:conditionalFormatting xmlns:xm="http://schemas.microsoft.com/office/excel/2006/main">
          <x14:cfRule type="containsText" priority="243" operator="containsText" text="non" id="{0060001F-0085-460F-AA81-00E7006800E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E118</xm:sqref>
        </x14:conditionalFormatting>
        <x14:conditionalFormatting xmlns:xm="http://schemas.microsoft.com/office/excel/2006/main">
          <x14:cfRule type="containsText" priority="242" operator="containsText" text="non" id="{00410011-0011-4A02-9AB1-0055008100F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E143</xm:sqref>
        </x14:conditionalFormatting>
        <x14:conditionalFormatting xmlns:xm="http://schemas.microsoft.com/office/excel/2006/main">
          <x14:cfRule type="containsText" priority="241" operator="containsText" text="non" id="{006B00C4-00AD-455A-9081-006B009B00C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E134</xm:sqref>
        </x14:conditionalFormatting>
        <x14:conditionalFormatting xmlns:xm="http://schemas.microsoft.com/office/excel/2006/main">
          <x14:cfRule type="containsText" priority="240" operator="containsText" text="non" id="{00CB0076-008C-4BE4-86D5-00840008009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E93</xm:sqref>
        </x14:conditionalFormatting>
        <x14:conditionalFormatting xmlns:xm="http://schemas.microsoft.com/office/excel/2006/main">
          <x14:cfRule type="containsText" priority="239" operator="containsText" text="non" id="{00E20063-00EF-43E2-85A3-00D0005D00F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E92</xm:sqref>
        </x14:conditionalFormatting>
        <x14:conditionalFormatting xmlns:xm="http://schemas.microsoft.com/office/excel/2006/main">
          <x14:cfRule type="containsText" priority="238" operator="containsText" text="non" id="{009500B4-0094-4EC9-9C72-008200B8007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E90</xm:sqref>
        </x14:conditionalFormatting>
        <x14:conditionalFormatting xmlns:xm="http://schemas.microsoft.com/office/excel/2006/main">
          <x14:cfRule type="containsText" priority="237" operator="containsText" text="non" id="{006A00F4-009D-4ACC-A28A-00D8001F002F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E78</xm:sqref>
        </x14:conditionalFormatting>
        <x14:conditionalFormatting xmlns:xm="http://schemas.microsoft.com/office/excel/2006/main">
          <x14:cfRule type="containsText" priority="236" operator="containsText" text="non" id="{00F80054-004F-4604-B69D-00D9007800A5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E89</xm:sqref>
        </x14:conditionalFormatting>
        <x14:conditionalFormatting xmlns:xm="http://schemas.microsoft.com/office/excel/2006/main">
          <x14:cfRule type="containsText" priority="235" operator="containsText" text="non" id="{00830071-005E-4E13-8220-00FB002400AC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E94</xm:sqref>
        </x14:conditionalFormatting>
        <x14:conditionalFormatting xmlns:xm="http://schemas.microsoft.com/office/excel/2006/main">
          <x14:cfRule type="containsText" priority="234" operator="containsText" text="non" id="{00B60075-00AA-4B87-AF72-00F600F3001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E80</xm:sqref>
        </x14:conditionalFormatting>
        <x14:conditionalFormatting xmlns:xm="http://schemas.microsoft.com/office/excel/2006/main">
          <x14:cfRule type="containsText" priority="233" operator="containsText" text="non" id="{00900000-0033-4EEB-AD3D-003F004E00C9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E76</xm:sqref>
        </x14:conditionalFormatting>
        <x14:conditionalFormatting xmlns:xm="http://schemas.microsoft.com/office/excel/2006/main">
          <x14:cfRule type="containsText" priority="232" operator="containsText" text="prev" id="{00D400A9-006D-4328-B832-001900D900A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containsText" priority="229" operator="containsText" text="prev" id="{001A0029-00D4-4B03-BF94-006300A4009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containsText" priority="228" operator="containsText" text="prev" id="{00920006-0070-48C9-A3E0-00FA001F00C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E31 E32 E33 E34 E35 E36 E37 E38 E39 E40 E41 E42</xm:sqref>
        </x14:conditionalFormatting>
        <x14:conditionalFormatting xmlns:xm="http://schemas.microsoft.com/office/excel/2006/main">
          <x14:cfRule type="containsText" priority="228" operator="containsText" text="prev" id="{00250039-0028-4779-880C-0028004500B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containsText" priority="226" operator="containsText" text="prev" id="{005100FE-007E-4FBF-B85C-00D50052000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ontainsText" priority="226" operator="containsText" text="prev" id="{00FE0040-0020-4236-A2E2-00F700610023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ontainsText" priority="222" operator="containsText" text="prev" id="{0068009A-0053-4BAA-A6BE-004D003A003F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222" operator="containsText" text="prev" id="{00ED0037-004A-43EB-A286-001100C3009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216" operator="containsText" text="prev" id="{00AE00AD-0014-478B-A187-0016000C009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E48 E51 E53 E55 E57 E60 E62 E64 E66 E68 E70 E44</xm:sqref>
        </x14:conditionalFormatting>
        <x14:conditionalFormatting xmlns:xm="http://schemas.microsoft.com/office/excel/2006/main">
          <x14:cfRule type="containsText" priority="210" operator="containsText" text="prev" id="{000300AA-0014-4EC4-8F20-00D400A4007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 E25 E25 E24:E26 E26</xm:sqref>
        </x14:conditionalFormatting>
        <x14:conditionalFormatting xmlns:xm="http://schemas.microsoft.com/office/excel/2006/main">
          <x14:cfRule type="containsText" priority="210" operator="containsText" text="prev" id="{00E40061-00A6-414B-B3B4-000B00F7004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210" operator="containsText" text="prev" id="{005A0041-002D-43BD-A584-00F60073006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10" operator="containsText" text="prev" id="{00E20072-0063-4D6C-9D80-00B60058003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210" operator="containsText" text="prev" id="{00A900D0-0038-4F5A-9E14-008E0046000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E23 E23</xm:sqref>
        </x14:conditionalFormatting>
        <x14:conditionalFormatting xmlns:xm="http://schemas.microsoft.com/office/excel/2006/main">
          <x14:cfRule type="containsText" priority="210" operator="containsText" text="prev" id="{00EA005F-0003-4B81-9C61-00A200DB003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207" operator="containsText" text="prev" id="{00BB008E-0080-4582-BB3F-003F0055007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E17 E2 E25 E3 E4 E5 E6 E7 E8 E9 E10 E11 E12 E13 E25 E24:E26 E26</xm:sqref>
        </x14:conditionalFormatting>
        <x14:conditionalFormatting xmlns:xm="http://schemas.microsoft.com/office/excel/2006/main">
          <x14:cfRule type="containsText" priority="207" operator="containsText" text="prev" id="{00AF0027-00F2-4EA7-BDE1-0080004400D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207" operator="containsText" text="prev" id="{001E003C-004C-48EE-BDEF-007C00B6003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07" operator="containsText" text="prev" id="{00580093-00F8-44E2-9499-009900DE002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207" operator="containsText" text="prev" id="{002B008B-001A-4353-928B-008C00D2004D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E23 E23</xm:sqref>
        </x14:conditionalFormatting>
        <x14:conditionalFormatting xmlns:xm="http://schemas.microsoft.com/office/excel/2006/main">
          <x14:cfRule type="containsText" priority="207" operator="containsText" text="prev" id="{003600B5-0098-46FD-954C-0070000B005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207" operator="containsText" text="prev" id="{00A5005B-0006-417D-8AB0-00CA0031004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ontainsText" priority="207" operator="containsText" text="prev" id="{003A001F-00E1-43ED-8D46-004E00F400E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206" operator="containsText" text="prev" id="{00250032-0095-44C6-A7F9-000A00AC00B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E127</xm:sqref>
        </x14:conditionalFormatting>
        <x14:conditionalFormatting xmlns:xm="http://schemas.microsoft.com/office/excel/2006/main">
          <x14:cfRule type="containsText" priority="205" operator="containsText" text="prev" id="{008900D4-00E0-483B-8D5D-002B00A300A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E113</xm:sqref>
        </x14:conditionalFormatting>
        <x14:conditionalFormatting xmlns:xm="http://schemas.microsoft.com/office/excel/2006/main">
          <x14:cfRule type="containsText" priority="204" operator="containsText" text="prev" id="{00890034-0020-40A4-A24A-00C5009E001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E115</xm:sqref>
        </x14:conditionalFormatting>
        <x14:conditionalFormatting xmlns:xm="http://schemas.microsoft.com/office/excel/2006/main">
          <x14:cfRule type="containsText" priority="203" operator="containsText" text="prev" id="{0018003C-0070-4264-9692-005000820015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E119</xm:sqref>
        </x14:conditionalFormatting>
        <x14:conditionalFormatting xmlns:xm="http://schemas.microsoft.com/office/excel/2006/main">
          <x14:cfRule type="containsText" priority="202" operator="containsText" text="prev" id="{007B0007-0051-4FDB-A62E-001F0046001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E103</xm:sqref>
        </x14:conditionalFormatting>
        <x14:conditionalFormatting xmlns:xm="http://schemas.microsoft.com/office/excel/2006/main">
          <x14:cfRule type="containsText" priority="201" operator="containsText" text="prev" id="{002500B8-00ED-4E13-801B-0019003200F4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E123</xm:sqref>
        </x14:conditionalFormatting>
        <x14:conditionalFormatting xmlns:xm="http://schemas.microsoft.com/office/excel/2006/main">
          <x14:cfRule type="containsText" priority="200" operator="containsText" text="prev" id="{00B300B9-00E9-419E-BB72-00B4007E008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E122</xm:sqref>
        </x14:conditionalFormatting>
        <x14:conditionalFormatting xmlns:xm="http://schemas.microsoft.com/office/excel/2006/main">
          <x14:cfRule type="containsText" priority="199" operator="containsText" text="prev" id="{009500E7-00F2-4C79-8E89-00B50009006B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E107</xm:sqref>
        </x14:conditionalFormatting>
        <x14:conditionalFormatting xmlns:xm="http://schemas.microsoft.com/office/excel/2006/main">
          <x14:cfRule type="containsText" priority="198" operator="containsText" text="prev" id="{004C008F-007F-4E58-B66B-00780006003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E106</xm:sqref>
        </x14:conditionalFormatting>
        <x14:conditionalFormatting xmlns:xm="http://schemas.microsoft.com/office/excel/2006/main">
          <x14:cfRule type="containsText" priority="197" operator="containsText" text="prev" id="{002000EA-0034-4695-BEF4-007C00A8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E110</xm:sqref>
        </x14:conditionalFormatting>
        <x14:conditionalFormatting xmlns:xm="http://schemas.microsoft.com/office/excel/2006/main">
          <x14:cfRule type="containsText" priority="196" operator="containsText" text="prev" id="{00F30004-0009-4B87-9FC0-0050009E00B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E104</xm:sqref>
        </x14:conditionalFormatting>
        <x14:conditionalFormatting xmlns:xm="http://schemas.microsoft.com/office/excel/2006/main">
          <x14:cfRule type="containsText" priority="195" operator="containsText" text="prev" id="{00E40021-00AA-41AC-B32D-00C200BA0012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E105</xm:sqref>
        </x14:conditionalFormatting>
        <x14:conditionalFormatting xmlns:xm="http://schemas.microsoft.com/office/excel/2006/main">
          <x14:cfRule type="containsText" priority="194" operator="containsText" text="prev" id="{00CB0055-0088-4C19-87A4-00F8009900B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E118</xm:sqref>
        </x14:conditionalFormatting>
        <x14:conditionalFormatting xmlns:xm="http://schemas.microsoft.com/office/excel/2006/main">
          <x14:cfRule type="containsText" priority="193" operator="containsText" text="prev" id="{00B800E6-007A-4705-BFC0-009000D1003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E143</xm:sqref>
        </x14:conditionalFormatting>
        <x14:conditionalFormatting xmlns:xm="http://schemas.microsoft.com/office/excel/2006/main">
          <x14:cfRule type="containsText" priority="192" operator="containsText" text="prev" id="{00520093-000D-443F-92A6-00090036001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E140</xm:sqref>
        </x14:conditionalFormatting>
        <x14:conditionalFormatting xmlns:xm="http://schemas.microsoft.com/office/excel/2006/main">
          <x14:cfRule type="containsText" priority="191" operator="containsText" text="prev" id="{00B00058-00FF-41FF-AA91-00DE005500C7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E93</xm:sqref>
        </x14:conditionalFormatting>
        <x14:conditionalFormatting xmlns:xm="http://schemas.microsoft.com/office/excel/2006/main">
          <x14:cfRule type="containsText" priority="190" operator="containsText" text="prev" id="{0009007D-000D-45D8-A0DF-00B800500099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E92</xm:sqref>
        </x14:conditionalFormatting>
        <x14:conditionalFormatting xmlns:xm="http://schemas.microsoft.com/office/excel/2006/main">
          <x14:cfRule type="containsText" priority="189" operator="containsText" text="prev" id="{009F009C-00B5-4487-9DA2-00CF000D00DE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E91</xm:sqref>
        </x14:conditionalFormatting>
        <x14:conditionalFormatting xmlns:xm="http://schemas.microsoft.com/office/excel/2006/main">
          <x14:cfRule type="containsText" priority="188" operator="containsText" text="prev" id="{007A007D-00D2-4CB2-B66A-003F00A500E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E95</xm:sqref>
        </x14:conditionalFormatting>
        <x14:conditionalFormatting xmlns:xm="http://schemas.microsoft.com/office/excel/2006/main">
          <x14:cfRule type="containsText" priority="187" operator="containsText" text="prev" id="{00F400D7-0045-455B-8F5D-00ED005B0028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E84</xm:sqref>
        </x14:conditionalFormatting>
        <x14:conditionalFormatting xmlns:xm="http://schemas.microsoft.com/office/excel/2006/main">
          <x14:cfRule type="containsText" priority="186" operator="containsText" text="prev" id="{007C0077-0023-479D-8118-00A600900096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E86</xm:sqref>
        </x14:conditionalFormatting>
        <x14:conditionalFormatting xmlns:xm="http://schemas.microsoft.com/office/excel/2006/main">
          <x14:cfRule type="containsText" priority="185" operator="containsText" text="prev" id="{00E80056-00FC-4BFC-95F6-006000460030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E80</xm:sqref>
        </x14:conditionalFormatting>
        <x14:conditionalFormatting xmlns:xm="http://schemas.microsoft.com/office/excel/2006/main">
          <x14:cfRule type="containsText" priority="184" operator="containsText" text="prev" id="{009000CD-0091-4F68-8DEE-0013009600A1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E77</xm:sqref>
        </x14:conditionalFormatting>
        <x14:conditionalFormatting xmlns:xm="http://schemas.microsoft.com/office/excel/2006/main">
          <x14:cfRule type="containsText" priority="183" operator="containsText" text="prev" id="{0096003B-008F-4E00-B978-00B800BB00EC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E72</xm:sqref>
        </x14:conditionalFormatting>
        <x14:conditionalFormatting xmlns:xm="http://schemas.microsoft.com/office/excel/2006/main">
          <x14:cfRule type="containsText" priority="182" operator="containsText" text="oui" id="{00340039-007C-4D04-B87D-000500E1001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containsText" priority="179" operator="containsText" text="oui" id="{003600A7-0042-4A95-B8F2-00EB009900C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containsText" priority="178" operator="containsText" text="oui" id="{003800D1-0057-424B-BFF2-008900BA00D8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E31 E32 E33 E34 E35 E36 E37 E38 E39 E40 E41 E42</xm:sqref>
        </x14:conditionalFormatting>
        <x14:conditionalFormatting xmlns:xm="http://schemas.microsoft.com/office/excel/2006/main">
          <x14:cfRule type="containsText" priority="178" operator="containsText" text="oui" id="{003800A9-00BB-4518-BCAF-007F0089001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containsText" priority="176" operator="containsText" text="oui" id="{00ED00D5-002E-482A-A18F-00F500AE009C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ontainsText" priority="176" operator="containsText" text="oui" id="{00DB0092-0053-4B03-AB6D-00AC00C100C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ontainsText" priority="172" operator="containsText" text="oui" id="{00840091-00EC-4872-90EE-001B001B000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172" operator="containsText" text="oui" id="{006800C6-0040-41CC-A1A8-00970011007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167" operator="containsText" text="oui" id="{00B00006-00DF-4DE9-94C5-000900BB00EE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E52 E54 E56 E58 E61 E63 E65 E67 E69 E71 E45</xm:sqref>
        </x14:conditionalFormatting>
        <x14:conditionalFormatting xmlns:xm="http://schemas.microsoft.com/office/excel/2006/main">
          <x14:cfRule type="containsText" priority="162" operator="containsText" text="oui" id="{0014007E-009E-4B06-927C-000C00B200A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E27</xm:sqref>
        </x14:conditionalFormatting>
        <x14:conditionalFormatting xmlns:xm="http://schemas.microsoft.com/office/excel/2006/main">
          <x14:cfRule type="containsText" priority="161" operator="containsText" text="oui" id="{00FB00B0-00FF-4086-93EB-006D009900B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E17 E25 E25 E24:E26 E26</xm:sqref>
        </x14:conditionalFormatting>
        <x14:conditionalFormatting xmlns:xm="http://schemas.microsoft.com/office/excel/2006/main">
          <x14:cfRule type="containsText" priority="161" operator="containsText" text="oui" id="{00750044-004F-4C87-A3CF-008900470010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161" operator="containsText" text="oui" id="{00CD00A3-0094-462D-A15C-008E004E000A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161" operator="containsText" text="oui" id="{00070060-00EE-434D-91B1-007000AF004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161" operator="containsText" text="oui" id="{00DD0009-00E3-49CD-B875-003300CE0087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E23 E23</xm:sqref>
        </x14:conditionalFormatting>
        <x14:conditionalFormatting xmlns:xm="http://schemas.microsoft.com/office/excel/2006/main">
          <x14:cfRule type="containsText" priority="161" operator="containsText" text="oui" id="{00EC0028-00FD-49E2-980F-00B90092002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157" operator="containsText" text="oui" id="{00900045-0083-4A4A-8D1E-00E000B6004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E126</xm:sqref>
        </x14:conditionalFormatting>
        <x14:conditionalFormatting xmlns:xm="http://schemas.microsoft.com/office/excel/2006/main">
          <x14:cfRule type="containsText" priority="156" operator="containsText" text="oui" id="{002B0087-003D-43A3-941B-00DD00B5003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E113</xm:sqref>
        </x14:conditionalFormatting>
        <x14:conditionalFormatting xmlns:xm="http://schemas.microsoft.com/office/excel/2006/main">
          <x14:cfRule type="containsText" priority="155" operator="containsText" text="oui" id="{00C900B5-0041-4E9E-88E6-003800BA000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E115</xm:sqref>
        </x14:conditionalFormatting>
        <x14:conditionalFormatting xmlns:xm="http://schemas.microsoft.com/office/excel/2006/main">
          <x14:cfRule type="containsText" priority="154" operator="containsText" text="oui" id="{00B700A2-00A3-4F6C-9DDF-007B006E00D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E111</xm:sqref>
        </x14:conditionalFormatting>
        <x14:conditionalFormatting xmlns:xm="http://schemas.microsoft.com/office/excel/2006/main">
          <x14:cfRule type="containsText" priority="153" operator="containsText" text="oui" id="{00390034-0075-4706-9255-003000820059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E103</xm:sqref>
        </x14:conditionalFormatting>
        <x14:conditionalFormatting xmlns:xm="http://schemas.microsoft.com/office/excel/2006/main">
          <x14:cfRule type="containsText" priority="152" operator="containsText" text="oui" id="{005A00F9-0041-4C4E-BA11-00B90011002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E123</xm:sqref>
        </x14:conditionalFormatting>
        <x14:conditionalFormatting xmlns:xm="http://schemas.microsoft.com/office/excel/2006/main">
          <x14:cfRule type="containsText" priority="150" operator="containsText" text="oui" id="{00470062-00E8-4E73-8FB5-0032003200F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E122</xm:sqref>
        </x14:conditionalFormatting>
        <x14:conditionalFormatting xmlns:xm="http://schemas.microsoft.com/office/excel/2006/main">
          <x14:cfRule type="containsText" priority="149" operator="containsText" text="oui" id="{00DB007A-00A0-4381-9182-00FD00DE005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E106</xm:sqref>
        </x14:conditionalFormatting>
        <x14:conditionalFormatting xmlns:xm="http://schemas.microsoft.com/office/excel/2006/main">
          <x14:cfRule type="containsText" priority="148" operator="containsText" text="oui" id="{004A0061-00B2-4D1F-97A2-007E00AA002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E112</xm:sqref>
        </x14:conditionalFormatting>
        <x14:conditionalFormatting xmlns:xm="http://schemas.microsoft.com/office/excel/2006/main">
          <x14:cfRule type="containsText" priority="147" operator="containsText" text="oui" id="{0057006C-0012-4F5C-9EE5-0019001B00C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E104</xm:sqref>
        </x14:conditionalFormatting>
        <x14:conditionalFormatting xmlns:xm="http://schemas.microsoft.com/office/excel/2006/main">
          <x14:cfRule type="containsText" priority="146" operator="containsText" text="oui" id="{00DD00FF-0053-4986-AFA7-00F1009E004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E105</xm:sqref>
        </x14:conditionalFormatting>
        <x14:conditionalFormatting xmlns:xm="http://schemas.microsoft.com/office/excel/2006/main">
          <x14:cfRule type="containsText" priority="144" operator="containsText" text="oui" id="{00BF008E-0019-479D-8B0B-009F00FD0031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E118</xm:sqref>
        </x14:conditionalFormatting>
        <x14:conditionalFormatting xmlns:xm="http://schemas.microsoft.com/office/excel/2006/main">
          <x14:cfRule type="containsText" priority="143" operator="containsText" text="oui" id="{0082002D-0049-49BF-96CC-00E8000C00C3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E101</xm:sqref>
        </x14:conditionalFormatting>
        <x14:conditionalFormatting xmlns:xm="http://schemas.microsoft.com/office/excel/2006/main">
          <x14:cfRule type="containsText" priority="142" operator="containsText" text="oui" id="{009D0018-0000-4A59-BE64-009400460064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E134</xm:sqref>
        </x14:conditionalFormatting>
        <x14:conditionalFormatting xmlns:xm="http://schemas.microsoft.com/office/excel/2006/main">
          <x14:cfRule type="containsText" priority="141" operator="containsText" text="oui" id="{008E0002-0055-4B5C-9FDD-00550009009F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E93</xm:sqref>
        </x14:conditionalFormatting>
        <x14:conditionalFormatting xmlns:xm="http://schemas.microsoft.com/office/excel/2006/main">
          <x14:cfRule type="containsText" priority="140" operator="containsText" text="oui" id="{007F00AE-00CF-40BB-9EEE-004100A20052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E91</xm:sqref>
        </x14:conditionalFormatting>
        <x14:conditionalFormatting xmlns:xm="http://schemas.microsoft.com/office/excel/2006/main">
          <x14:cfRule type="containsText" priority="139" operator="containsText" text="oui" id="{0044001D-008F-43E0-A0A8-0062009600D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E95</xm:sqref>
        </x14:conditionalFormatting>
        <x14:conditionalFormatting xmlns:xm="http://schemas.microsoft.com/office/excel/2006/main">
          <x14:cfRule type="containsText" priority="138" operator="containsText" text="oui" id="{005100CC-001D-41B2-A53B-000500B100D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E81</xm:sqref>
        </x14:conditionalFormatting>
        <x14:conditionalFormatting xmlns:xm="http://schemas.microsoft.com/office/excel/2006/main">
          <x14:cfRule type="containsText" priority="137" operator="containsText" text="oui" id="{00C90010-0079-4B77-967E-007600220026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E87</xm:sqref>
        </x14:conditionalFormatting>
        <x14:conditionalFormatting xmlns:xm="http://schemas.microsoft.com/office/excel/2006/main">
          <x14:cfRule type="containsText" priority="136" operator="containsText" text="oui" id="{00FC0055-0066-4B20-B771-00B80051001B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E80</xm:sqref>
        </x14:conditionalFormatting>
        <x14:conditionalFormatting xmlns:xm="http://schemas.microsoft.com/office/excel/2006/main">
          <x14:cfRule type="containsText" priority="135" operator="containsText" text="oui" id="{001D0021-00B3-4947-B425-009600B700FD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E79</xm:sqref>
        </x14:conditionalFormatting>
        <x14:conditionalFormatting xmlns:xm="http://schemas.microsoft.com/office/excel/2006/main">
          <x14:cfRule type="containsText" priority="134" operator="containsText" text="oui" id="{00690068-0018-4C43-9EA8-004C00260065}">
            <xm:f>NOT(ISERROR(SEARCH("oui",H1)))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E73</xm:sqref>
        </x14:conditionalFormatting>
        <x14:conditionalFormatting xmlns:xm="http://schemas.microsoft.com/office/excel/2006/main">
          <x14:cfRule type="containsText" priority="133" operator="containsText" text="prev" id="{0072007A-00FC-4257-9F90-00EC00DE003A}">
            <xm:f>NOT(ISERROR(SEARCH("prev",H1)))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E73</xm:sqref>
        </x14:conditionalFormatting>
        <x14:conditionalFormatting xmlns:xm="http://schemas.microsoft.com/office/excel/2006/main">
          <x14:cfRule type="containsText" priority="107" operator="containsText" text="non" id="{0096006A-009E-4599-9978-00490032004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E1:E2 E17 E25 E48 E51:E58 E60:E145 E3 E4 E5 E6 E7 E8 E9 E10 E11 E12 E13 E25 E31 E44:E45 E24:E26 E26:E27 E27 E32 E33 E34 E35 E36 E37 E38 E39 E40 E41 E42</xm:sqref>
        </x14:conditionalFormatting>
        <x14:conditionalFormatting xmlns:xm="http://schemas.microsoft.com/office/excel/2006/main">
          <x14:cfRule type="containsText" priority="107" operator="containsText" text="non" id="{001900BA-0094-4CB4-97E0-007300010056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containsText" priority="107" operator="containsText" text="non" id="{00590068-0098-4D1E-898E-0030000600B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107" operator="containsText" text="non" id="{009E0041-0085-4150-848E-000A0054007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107" operator="containsText" text="non" id="{007E00E6-0077-4028-BE3A-000D008A00B7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107" operator="containsText" text="non" id="{00A90046-00D5-4FEE-8B18-001B00590078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E23</xm:sqref>
        </x14:conditionalFormatting>
        <x14:conditionalFormatting xmlns:xm="http://schemas.microsoft.com/office/excel/2006/main">
          <x14:cfRule type="containsText" priority="107" operator="containsText" text="non" id="{00860053-000F-4B0F-A863-00A7007700DB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107" operator="containsText" text="non" id="{009A0052-0096-4DE2-BD81-0055005D006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ontainsText" priority="107" operator="containsText" text="non" id="{004F00C7-00D1-42D7-B694-00EA005F002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ellIs" priority="28" operator="greaterThan" id="{009300C1-00C3-40B8-AC30-007C00E2002A}">
            <xm:f>0</xm:f>
            <x14:dxf>
              <font>
                <color theme="1" tint="0.049989318521683403"/>
              </font>
              <fill>
                <patternFill patternType="solid">
                  <fgColor rgb="FFC5DFB2"/>
                  <bgColor rgb="FFC5DFB2"/>
                </patternFill>
              </fill>
            </x14:dxf>
          </x14:cfRule>
          <xm:sqref>J19 I13</xm:sqref>
        </x14:conditionalFormatting>
        <x14:conditionalFormatting xmlns:xm="http://schemas.microsoft.com/office/excel/2006/main">
          <x14:cfRule type="cellIs" priority="27" operator="lessThan" id="{00DC00D0-00E0-4178-B6A9-008D0069003A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J19 I13</xm:sqref>
        </x14:conditionalFormatting>
        <x14:conditionalFormatting xmlns:xm="http://schemas.microsoft.com/office/excel/2006/main">
          <x14:cfRule type="containsText" priority="5" operator="containsText" text="non" id="{00DB00BA-00E2-4EBB-950E-00900025003E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E17 E25 E25 E24:E26 E26</xm:sqref>
        </x14:conditionalFormatting>
        <x14:conditionalFormatting xmlns:xm="http://schemas.microsoft.com/office/excel/2006/main">
          <x14:cfRule type="containsText" priority="5" operator="containsText" text="non" id="{00A00068-00EA-4576-AA6F-002300A50042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5" operator="containsText" text="non" id="{00E20018-007A-40A8-8375-00B900E500CD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5" operator="containsText" text="non" id="{00C40038-00FB-4986-9902-002B00A600E3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5" operator="containsText" text="non" id="{00EC00B6-009F-4BAA-A193-00E500C80020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E23 E23</xm:sqref>
        </x14:conditionalFormatting>
        <x14:conditionalFormatting xmlns:xm="http://schemas.microsoft.com/office/excel/2006/main">
          <x14:cfRule type="containsText" priority="5" operator="containsText" text="non" id="{0091005B-006E-43C4-953F-000500DA0044}">
            <xm:f>NOT(ISERROR(SEARCH("non",H1)))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A1" activeCellId="0" sqref="A1"/>
    </sheetView>
  </sheetViews>
  <sheetFormatPr baseColWidth="10" defaultRowHeight="14.25"/>
  <sheetData>
    <row r="1">
      <c r="A1" s="11" t="s">
        <v>1064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>
      <c r="A4" s="178">
        <v>45473</v>
      </c>
      <c r="B4" t="s">
        <v>1065</v>
      </c>
      <c r="C4" t="s">
        <v>13</v>
      </c>
      <c r="E4">
        <v>0</v>
      </c>
      <c r="F4">
        <v>0</v>
      </c>
      <c r="G4">
        <v>0</v>
      </c>
      <c r="H4" t="s">
        <v>1066</v>
      </c>
      <c r="I4">
        <v>0</v>
      </c>
      <c r="J4">
        <v>5000</v>
      </c>
    </row>
    <row r="5">
      <c r="A5" s="178">
        <v>45359</v>
      </c>
      <c r="B5" t="s">
        <v>19</v>
      </c>
      <c r="C5" t="s">
        <v>13</v>
      </c>
      <c r="D5" t="s">
        <v>122</v>
      </c>
      <c r="E5">
        <v>475</v>
      </c>
      <c r="F5">
        <v>0</v>
      </c>
      <c r="G5">
        <v>475</v>
      </c>
      <c r="H5" t="s">
        <v>30</v>
      </c>
      <c r="I5">
        <v>1</v>
      </c>
      <c r="J5">
        <v>475</v>
      </c>
    </row>
    <row r="6">
      <c r="A6" s="178">
        <v>45631</v>
      </c>
      <c r="B6" t="s">
        <v>12</v>
      </c>
      <c r="C6" t="s">
        <v>13</v>
      </c>
      <c r="E6">
        <v>480</v>
      </c>
      <c r="F6">
        <v>96</v>
      </c>
      <c r="G6">
        <v>576</v>
      </c>
      <c r="H6" t="s">
        <v>51</v>
      </c>
      <c r="I6">
        <v>1</v>
      </c>
      <c r="J6">
        <v>480</v>
      </c>
    </row>
    <row r="7">
      <c r="A7" s="178">
        <v>45606</v>
      </c>
      <c r="B7" t="s">
        <v>12</v>
      </c>
      <c r="C7" t="s">
        <v>13</v>
      </c>
      <c r="E7">
        <v>480</v>
      </c>
      <c r="F7">
        <v>96</v>
      </c>
      <c r="G7">
        <v>576</v>
      </c>
      <c r="H7" t="s">
        <v>51</v>
      </c>
      <c r="I7">
        <v>1</v>
      </c>
      <c r="J7">
        <v>480</v>
      </c>
    </row>
    <row r="8">
      <c r="A8" s="178">
        <v>45575</v>
      </c>
      <c r="B8" t="s">
        <v>12</v>
      </c>
      <c r="C8" t="s">
        <v>13</v>
      </c>
      <c r="E8">
        <v>480</v>
      </c>
      <c r="F8">
        <v>96</v>
      </c>
      <c r="G8">
        <v>576</v>
      </c>
      <c r="H8" t="s">
        <v>51</v>
      </c>
      <c r="I8">
        <v>1</v>
      </c>
      <c r="J8">
        <v>480</v>
      </c>
    </row>
    <row r="9">
      <c r="A9" s="178">
        <v>45544</v>
      </c>
      <c r="B9" t="s">
        <v>12</v>
      </c>
      <c r="C9" t="s">
        <v>13</v>
      </c>
      <c r="E9">
        <v>480</v>
      </c>
      <c r="F9">
        <v>96</v>
      </c>
      <c r="G9">
        <v>576</v>
      </c>
      <c r="H9" t="s">
        <v>51</v>
      </c>
      <c r="I9">
        <v>1</v>
      </c>
      <c r="J9">
        <v>480</v>
      </c>
    </row>
    <row r="10">
      <c r="A10" s="178">
        <v>45513</v>
      </c>
      <c r="B10" t="s">
        <v>12</v>
      </c>
      <c r="C10" t="s">
        <v>13</v>
      </c>
      <c r="E10">
        <v>480</v>
      </c>
      <c r="F10">
        <v>96</v>
      </c>
      <c r="G10">
        <v>576</v>
      </c>
      <c r="H10" t="s">
        <v>51</v>
      </c>
      <c r="I10">
        <v>1</v>
      </c>
      <c r="J10">
        <v>480</v>
      </c>
    </row>
    <row r="11">
      <c r="A11" s="178">
        <v>45482</v>
      </c>
      <c r="B11" t="s">
        <v>12</v>
      </c>
      <c r="C11" t="s">
        <v>13</v>
      </c>
      <c r="E11">
        <v>480</v>
      </c>
      <c r="F11">
        <v>96</v>
      </c>
      <c r="G11">
        <v>576</v>
      </c>
      <c r="H11" t="s">
        <v>51</v>
      </c>
      <c r="I11">
        <v>1</v>
      </c>
      <c r="J11">
        <v>480</v>
      </c>
    </row>
    <row r="12">
      <c r="A12" s="178">
        <v>45451</v>
      </c>
      <c r="B12" t="s">
        <v>12</v>
      </c>
      <c r="C12" t="s">
        <v>13</v>
      </c>
      <c r="E12">
        <v>480</v>
      </c>
      <c r="F12">
        <v>96</v>
      </c>
      <c r="G12">
        <v>576</v>
      </c>
      <c r="H12" t="s">
        <v>51</v>
      </c>
      <c r="I12">
        <v>1</v>
      </c>
      <c r="J12">
        <v>480</v>
      </c>
    </row>
    <row r="13">
      <c r="A13" s="178">
        <v>45389</v>
      </c>
      <c r="B13" t="s">
        <v>12</v>
      </c>
      <c r="C13" t="s">
        <v>13</v>
      </c>
      <c r="E13">
        <v>480</v>
      </c>
      <c r="F13">
        <v>96</v>
      </c>
      <c r="G13">
        <v>576</v>
      </c>
      <c r="H13" t="s">
        <v>51</v>
      </c>
      <c r="I13">
        <v>1</v>
      </c>
      <c r="J13">
        <v>480</v>
      </c>
    </row>
    <row r="14">
      <c r="A14" s="178">
        <v>45420</v>
      </c>
      <c r="B14" t="s">
        <v>12</v>
      </c>
      <c r="C14" t="s">
        <v>13</v>
      </c>
      <c r="E14">
        <v>480</v>
      </c>
      <c r="F14">
        <v>96</v>
      </c>
      <c r="G14">
        <v>576</v>
      </c>
      <c r="H14" t="s">
        <v>51</v>
      </c>
      <c r="I14">
        <v>1</v>
      </c>
      <c r="J14">
        <v>480</v>
      </c>
    </row>
    <row r="15">
      <c r="A15" s="178">
        <v>45296</v>
      </c>
      <c r="B15" t="s">
        <v>12</v>
      </c>
      <c r="C15" t="s">
        <v>13</v>
      </c>
      <c r="D15" t="s">
        <v>99</v>
      </c>
      <c r="E15">
        <v>660</v>
      </c>
      <c r="F15">
        <v>132</v>
      </c>
      <c r="G15">
        <v>792</v>
      </c>
      <c r="H15" t="s">
        <v>15</v>
      </c>
      <c r="I15">
        <v>1</v>
      </c>
      <c r="J15">
        <v>660</v>
      </c>
    </row>
    <row r="16">
      <c r="A16" s="178">
        <v>45327</v>
      </c>
      <c r="B16" t="s">
        <v>12</v>
      </c>
      <c r="C16" t="s">
        <v>13</v>
      </c>
      <c r="D16" t="s">
        <v>111</v>
      </c>
      <c r="E16">
        <v>790</v>
      </c>
      <c r="F16">
        <v>158</v>
      </c>
      <c r="G16">
        <v>948</v>
      </c>
      <c r="H16" t="s">
        <v>15</v>
      </c>
      <c r="I16">
        <v>1</v>
      </c>
      <c r="J16">
        <v>790</v>
      </c>
    </row>
    <row r="17">
      <c r="A17" s="178">
        <v>45356</v>
      </c>
      <c r="B17" t="s">
        <v>12</v>
      </c>
      <c r="C17" t="s">
        <v>13</v>
      </c>
      <c r="D17" t="s">
        <v>120</v>
      </c>
      <c r="E17">
        <v>880</v>
      </c>
      <c r="F17">
        <v>176</v>
      </c>
      <c r="G17">
        <v>1056</v>
      </c>
      <c r="H17" t="s">
        <v>15</v>
      </c>
      <c r="I17">
        <v>1</v>
      </c>
      <c r="J17">
        <v>880</v>
      </c>
    </row>
    <row r="18">
      <c r="A18" s="178">
        <v>45473</v>
      </c>
      <c r="B18" t="s">
        <v>19</v>
      </c>
      <c r="C18" t="s">
        <v>13</v>
      </c>
      <c r="E18">
        <v>950</v>
      </c>
      <c r="F18">
        <v>0</v>
      </c>
      <c r="G18">
        <v>950</v>
      </c>
      <c r="H18" t="s">
        <v>51</v>
      </c>
      <c r="I18">
        <v>2</v>
      </c>
      <c r="J18">
        <v>475</v>
      </c>
    </row>
    <row r="19">
      <c r="A19" s="178">
        <v>45412</v>
      </c>
      <c r="B19" t="s">
        <v>19</v>
      </c>
      <c r="C19" t="s">
        <v>13</v>
      </c>
      <c r="E19">
        <v>950</v>
      </c>
      <c r="F19">
        <v>0</v>
      </c>
      <c r="G19">
        <v>950</v>
      </c>
      <c r="H19" t="s">
        <v>51</v>
      </c>
      <c r="I19">
        <v>2</v>
      </c>
      <c r="J19">
        <v>475</v>
      </c>
    </row>
    <row r="20">
      <c r="A20" s="178">
        <v>45345</v>
      </c>
      <c r="B20" t="s">
        <v>101</v>
      </c>
      <c r="C20" t="s">
        <v>13</v>
      </c>
      <c r="D20" t="s">
        <v>112</v>
      </c>
      <c r="E20">
        <v>1148</v>
      </c>
      <c r="F20">
        <v>0</v>
      </c>
      <c r="G20">
        <v>1148</v>
      </c>
      <c r="H20" t="s">
        <v>30</v>
      </c>
      <c r="I20">
        <v>2</v>
      </c>
      <c r="J20">
        <v>574</v>
      </c>
    </row>
    <row r="21">
      <c r="A21" s="203">
        <v>45530.666666666664</v>
      </c>
      <c r="B21" t="s">
        <v>63</v>
      </c>
      <c r="C21" t="s">
        <v>13</v>
      </c>
      <c r="E21">
        <v>2000</v>
      </c>
      <c r="F21">
        <v>400</v>
      </c>
      <c r="G21">
        <v>2400</v>
      </c>
      <c r="H21" t="s">
        <v>1066</v>
      </c>
      <c r="I21">
        <v>4</v>
      </c>
      <c r="J21">
        <v>500</v>
      </c>
    </row>
    <row r="22">
      <c r="A22" s="178">
        <v>45314</v>
      </c>
      <c r="B22" t="s">
        <v>101</v>
      </c>
      <c r="C22" t="s">
        <v>13</v>
      </c>
      <c r="D22" t="s">
        <v>102</v>
      </c>
      <c r="E22">
        <v>2296</v>
      </c>
      <c r="F22">
        <v>0</v>
      </c>
      <c r="G22">
        <v>2296</v>
      </c>
      <c r="H22" t="s">
        <v>15</v>
      </c>
      <c r="I22">
        <v>4</v>
      </c>
      <c r="J22">
        <v>574</v>
      </c>
    </row>
    <row r="23">
      <c r="A23" s="203">
        <v>45650.666666666664</v>
      </c>
      <c r="B23" t="s">
        <v>63</v>
      </c>
      <c r="C23" t="s">
        <v>13</v>
      </c>
      <c r="E23">
        <v>6000</v>
      </c>
      <c r="F23">
        <v>1200</v>
      </c>
      <c r="G23">
        <v>7200</v>
      </c>
      <c r="H23" t="s">
        <v>1066</v>
      </c>
      <c r="I23">
        <v>12</v>
      </c>
      <c r="J23">
        <v>500</v>
      </c>
    </row>
    <row r="24">
      <c r="A24" s="203">
        <v>45620.666666666664</v>
      </c>
      <c r="B24" t="s">
        <v>63</v>
      </c>
      <c r="C24" t="s">
        <v>13</v>
      </c>
      <c r="E24">
        <v>6000</v>
      </c>
      <c r="F24">
        <v>1200</v>
      </c>
      <c r="G24">
        <v>7200</v>
      </c>
      <c r="H24" t="s">
        <v>1066</v>
      </c>
      <c r="I24">
        <v>12</v>
      </c>
      <c r="J24">
        <v>500</v>
      </c>
    </row>
    <row r="25">
      <c r="A25" s="203">
        <v>45590.666666666664</v>
      </c>
      <c r="B25" t="s">
        <v>63</v>
      </c>
      <c r="C25" t="s">
        <v>13</v>
      </c>
      <c r="E25">
        <v>6000</v>
      </c>
      <c r="F25">
        <v>1200</v>
      </c>
      <c r="G25">
        <v>7200</v>
      </c>
      <c r="H25" t="s">
        <v>1066</v>
      </c>
      <c r="I25">
        <v>12</v>
      </c>
      <c r="J25">
        <v>500</v>
      </c>
    </row>
    <row r="26">
      <c r="A26" s="203">
        <v>45560.666666666664</v>
      </c>
      <c r="B26" t="s">
        <v>63</v>
      </c>
      <c r="C26" t="s">
        <v>13</v>
      </c>
      <c r="E26">
        <v>6000</v>
      </c>
      <c r="F26">
        <v>1200</v>
      </c>
      <c r="G26">
        <v>7200</v>
      </c>
      <c r="H26" t="s">
        <v>1066</v>
      </c>
      <c r="I26">
        <v>12</v>
      </c>
      <c r="J26">
        <v>500</v>
      </c>
    </row>
    <row r="27">
      <c r="A27" s="203">
        <v>45500.666666666664</v>
      </c>
      <c r="B27" t="s">
        <v>63</v>
      </c>
      <c r="C27" t="s">
        <v>13</v>
      </c>
      <c r="E27">
        <v>6000</v>
      </c>
      <c r="F27">
        <v>1200</v>
      </c>
      <c r="G27">
        <v>7200</v>
      </c>
      <c r="H27" t="s">
        <v>1066</v>
      </c>
      <c r="I27">
        <v>12</v>
      </c>
      <c r="J27">
        <v>500</v>
      </c>
    </row>
    <row r="28">
      <c r="A28" s="203">
        <v>45470.666666666664</v>
      </c>
      <c r="B28" t="s">
        <v>26</v>
      </c>
      <c r="C28" t="s">
        <v>13</v>
      </c>
      <c r="E28">
        <v>6000</v>
      </c>
      <c r="F28">
        <v>1200</v>
      </c>
      <c r="G28">
        <v>7200</v>
      </c>
      <c r="H28" t="s">
        <v>51</v>
      </c>
      <c r="I28">
        <v>12</v>
      </c>
      <c r="J28">
        <v>500</v>
      </c>
    </row>
    <row r="29">
      <c r="A29" s="203">
        <v>45440.666666666664</v>
      </c>
      <c r="B29" t="s">
        <v>26</v>
      </c>
      <c r="C29" t="s">
        <v>13</v>
      </c>
      <c r="E29">
        <v>6000</v>
      </c>
      <c r="F29">
        <v>1200</v>
      </c>
      <c r="G29">
        <v>7200</v>
      </c>
      <c r="H29" t="s">
        <v>51</v>
      </c>
      <c r="I29">
        <v>12</v>
      </c>
      <c r="J29">
        <v>500</v>
      </c>
    </row>
    <row r="30">
      <c r="A30" s="178">
        <v>45381</v>
      </c>
      <c r="B30" t="s">
        <v>26</v>
      </c>
      <c r="C30" t="s">
        <v>13</v>
      </c>
      <c r="E30">
        <v>7000</v>
      </c>
      <c r="F30">
        <v>1400</v>
      </c>
      <c r="G30">
        <v>8400</v>
      </c>
      <c r="H30" t="s">
        <v>51</v>
      </c>
      <c r="I30">
        <v>14</v>
      </c>
      <c r="J30">
        <v>500</v>
      </c>
    </row>
    <row r="31">
      <c r="A31" s="203">
        <v>45410.666666666664</v>
      </c>
      <c r="B31" t="s">
        <v>26</v>
      </c>
      <c r="C31" t="s">
        <v>13</v>
      </c>
      <c r="E31">
        <v>7000</v>
      </c>
      <c r="F31">
        <v>1400</v>
      </c>
      <c r="G31">
        <v>8400</v>
      </c>
      <c r="H31" t="s">
        <v>51</v>
      </c>
      <c r="I31">
        <v>14</v>
      </c>
      <c r="J31">
        <v>500</v>
      </c>
    </row>
    <row r="32">
      <c r="A32" s="178">
        <v>45351</v>
      </c>
      <c r="B32" t="s">
        <v>26</v>
      </c>
      <c r="C32" t="s">
        <v>13</v>
      </c>
      <c r="D32" t="s">
        <v>118</v>
      </c>
      <c r="E32">
        <v>7500</v>
      </c>
      <c r="F32">
        <v>1500</v>
      </c>
      <c r="G32">
        <v>9000</v>
      </c>
      <c r="H32" t="s">
        <v>30</v>
      </c>
      <c r="I32">
        <v>15</v>
      </c>
      <c r="J32">
        <v>500</v>
      </c>
    </row>
    <row r="33">
      <c r="A33" s="178">
        <v>45322</v>
      </c>
      <c r="B33" t="s">
        <v>26</v>
      </c>
      <c r="C33" t="s">
        <v>13</v>
      </c>
      <c r="D33" t="s">
        <v>109</v>
      </c>
      <c r="E33">
        <v>7500</v>
      </c>
      <c r="F33">
        <v>1500</v>
      </c>
      <c r="G33">
        <v>9000</v>
      </c>
      <c r="H33" t="s">
        <v>15</v>
      </c>
      <c r="I33">
        <v>15</v>
      </c>
      <c r="J33">
        <v>500</v>
      </c>
    </row>
    <row r="34">
      <c r="A34" s="178">
        <v>45443</v>
      </c>
      <c r="B34" t="s">
        <v>166</v>
      </c>
      <c r="C34" t="s">
        <v>13</v>
      </c>
      <c r="E34">
        <v>12800</v>
      </c>
      <c r="F34">
        <v>2560</v>
      </c>
      <c r="G34">
        <v>15360</v>
      </c>
      <c r="H34" t="s">
        <v>51</v>
      </c>
      <c r="I34">
        <v>16</v>
      </c>
      <c r="J34">
        <v>800</v>
      </c>
    </row>
    <row r="35">
      <c r="A35" s="178">
        <v>45657</v>
      </c>
      <c r="B35" t="s">
        <v>1067</v>
      </c>
      <c r="C35" t="s">
        <v>13</v>
      </c>
      <c r="E35">
        <v>18000</v>
      </c>
      <c r="F35">
        <v>3600</v>
      </c>
      <c r="G35">
        <v>21600</v>
      </c>
      <c r="H35" t="s">
        <v>1066</v>
      </c>
      <c r="I35">
        <v>36</v>
      </c>
      <c r="J35">
        <v>500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8" activeCellId="0" sqref="D18"/>
    </sheetView>
  </sheetViews>
  <sheetFormatPr baseColWidth="10" defaultRowHeight="14.25"/>
  <cols>
    <col bestFit="1" customWidth="1" min="1" max="1" width="14"/>
  </cols>
  <sheetData>
    <row r="1">
      <c r="A1" t="s">
        <v>1068</v>
      </c>
      <c r="B1" t="s">
        <v>255</v>
      </c>
      <c r="C1" t="s">
        <v>1069</v>
      </c>
      <c r="D1" t="s">
        <v>1070</v>
      </c>
    </row>
    <row r="2">
      <c r="A2" t="s">
        <v>13</v>
      </c>
      <c r="B2">
        <v>63428.57</v>
      </c>
      <c r="C2">
        <v>510</v>
      </c>
      <c r="D2">
        <v>3.5</v>
      </c>
    </row>
    <row r="3">
      <c r="A3" t="s">
        <v>17</v>
      </c>
      <c r="B3">
        <v>63428.57</v>
      </c>
      <c r="C3">
        <v>510</v>
      </c>
      <c r="D3">
        <v>3.5</v>
      </c>
    </row>
    <row r="4">
      <c r="A4" t="s">
        <v>1071</v>
      </c>
      <c r="B4">
        <v>35000</v>
      </c>
      <c r="C4">
        <v>500</v>
      </c>
      <c r="D4">
        <v>5</v>
      </c>
    </row>
    <row r="5">
      <c r="A5" t="s">
        <v>1072</v>
      </c>
      <c r="B5">
        <v>35000</v>
      </c>
      <c r="C5">
        <v>500</v>
      </c>
      <c r="D5">
        <v>5</v>
      </c>
    </row>
    <row r="6">
      <c r="A6" t="s">
        <v>1073</v>
      </c>
      <c r="B6">
        <v>35000</v>
      </c>
      <c r="C6">
        <v>500</v>
      </c>
      <c r="D6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100" workbookViewId="0">
      <selection activeCell="F12" activeCellId="0" sqref="F12"/>
    </sheetView>
  </sheetViews>
  <sheetFormatPr baseColWidth="10" defaultRowHeight="14.25"/>
  <cols>
    <col customWidth="1" min="3" max="4" width="14.28125"/>
    <col customWidth="1" min="7" max="7" width="19.140625"/>
    <col customWidth="1" min="8" max="8" width="13.85546875"/>
    <col customWidth="1" min="9" max="9" width="15.85546875"/>
    <col customWidth="1" min="10" max="10" width="17"/>
  </cols>
  <sheetData>
    <row r="4">
      <c r="E4" t="s">
        <v>1069</v>
      </c>
      <c r="F4">
        <f>105000/SUM(D6:D17)</f>
        <v>719.17808219178085</v>
      </c>
    </row>
    <row r="5">
      <c r="D5" t="s">
        <v>1074</v>
      </c>
    </row>
    <row r="6">
      <c r="C6" t="s">
        <v>1075</v>
      </c>
      <c r="D6">
        <v>16</v>
      </c>
      <c r="I6" t="s">
        <v>1076</v>
      </c>
    </row>
    <row r="7">
      <c r="C7" t="s">
        <v>1077</v>
      </c>
      <c r="D7">
        <v>9</v>
      </c>
      <c r="H7" t="s">
        <v>1078</v>
      </c>
      <c r="I7" t="s">
        <v>1079</v>
      </c>
      <c r="K7">
        <v>2023</v>
      </c>
      <c r="L7">
        <v>2024</v>
      </c>
    </row>
    <row r="8">
      <c r="C8" t="s">
        <v>1080</v>
      </c>
      <c r="D8">
        <v>14</v>
      </c>
      <c r="G8" t="s">
        <v>72</v>
      </c>
      <c r="H8">
        <f>4100*12*1.42*2</f>
        <v>139728</v>
      </c>
      <c r="I8" t="s">
        <v>94</v>
      </c>
      <c r="J8">
        <f t="shared" ref="J8:J9" si="89">(K8+L8)/2</f>
        <v>88200</v>
      </c>
      <c r="K8">
        <f>108000*12/15</f>
        <v>86400</v>
      </c>
      <c r="L8">
        <v>90000</v>
      </c>
    </row>
    <row r="9">
      <c r="C9" t="s">
        <v>1081</v>
      </c>
      <c r="D9">
        <v>12</v>
      </c>
      <c r="G9" t="s">
        <v>256</v>
      </c>
      <c r="H9">
        <v>25000</v>
      </c>
      <c r="I9" t="s">
        <v>93</v>
      </c>
      <c r="J9">
        <f t="shared" si="89"/>
        <v>84000</v>
      </c>
      <c r="K9">
        <f>110000*12/15</f>
        <v>88000</v>
      </c>
      <c r="L9">
        <f>80000</f>
        <v>80000</v>
      </c>
    </row>
    <row r="10">
      <c r="C10" t="s">
        <v>1082</v>
      </c>
      <c r="D10">
        <v>13</v>
      </c>
      <c r="G10" t="s">
        <v>1083</v>
      </c>
      <c r="H10">
        <f>500*12</f>
        <v>6000</v>
      </c>
    </row>
    <row r="11">
      <c r="C11" t="s">
        <v>1084</v>
      </c>
      <c r="D11">
        <v>18.5</v>
      </c>
      <c r="G11" t="s">
        <v>1085</v>
      </c>
      <c r="H11">
        <f>2400*12</f>
        <v>28800</v>
      </c>
      <c r="I11" t="s">
        <v>1086</v>
      </c>
      <c r="J11">
        <f>6*200*12*0.8</f>
        <v>11520</v>
      </c>
    </row>
    <row r="12">
      <c r="C12" t="s">
        <v>1087</v>
      </c>
      <c r="D12">
        <v>15</v>
      </c>
    </row>
    <row r="13">
      <c r="C13" t="s">
        <v>1088</v>
      </c>
      <c r="D13">
        <v>12.5</v>
      </c>
    </row>
    <row r="14">
      <c r="C14" t="s">
        <v>1089</v>
      </c>
      <c r="D14">
        <v>12</v>
      </c>
      <c r="G14" t="s">
        <v>242</v>
      </c>
      <c r="H14">
        <f>SUM(H8:H13)</f>
        <v>199528</v>
      </c>
      <c r="I14" t="s">
        <v>242</v>
      </c>
      <c r="J14">
        <f>SUM(J8:J13)</f>
        <v>183720</v>
      </c>
      <c r="N14" t="s">
        <v>1090</v>
      </c>
      <c r="O14">
        <f>O15/12*0.25</f>
        <v>729.16666666666663</v>
      </c>
    </row>
    <row r="15">
      <c r="C15" t="s">
        <v>1091</v>
      </c>
      <c r="D15">
        <v>4</v>
      </c>
      <c r="N15" t="s">
        <v>1092</v>
      </c>
      <c r="O15">
        <f>35000</f>
        <v>35000</v>
      </c>
    </row>
    <row r="16">
      <c r="C16" t="s">
        <v>1093</v>
      </c>
      <c r="D16">
        <v>7</v>
      </c>
      <c r="H16" t="s">
        <v>92</v>
      </c>
      <c r="I16">
        <f>J14-H14</f>
        <v>-15808</v>
      </c>
      <c r="N16" t="s">
        <v>1094</v>
      </c>
      <c r="O16">
        <v>6000</v>
      </c>
    </row>
    <row r="17">
      <c r="C17" t="s">
        <v>1095</v>
      </c>
      <c r="D17">
        <v>13</v>
      </c>
      <c r="N17" t="s">
        <v>1096</v>
      </c>
      <c r="O17">
        <v>10000</v>
      </c>
      <c r="Q17">
        <f>Q18-(O15+O14)*1.42-O16</f>
        <v>13264.583333333336</v>
      </c>
    </row>
    <row r="18" ht="14.25">
      <c r="P18">
        <f>(O14+O15)*1.42+O16+O17</f>
        <v>66735.416666666657</v>
      </c>
      <c r="Q18">
        <f>Q19*200</f>
        <v>70000</v>
      </c>
    </row>
    <row r="19" ht="14.25">
      <c r="P19">
        <f>P18/200</f>
        <v>333.67708333333326</v>
      </c>
      <c r="Q19">
        <v>350</v>
      </c>
    </row>
    <row r="22"/>
    <row r="23"/>
    <row r="24">
      <c r="B24" s="18"/>
      <c r="C24" s="121" t="s">
        <v>210</v>
      </c>
      <c r="D24" s="121"/>
      <c r="E24" s="120"/>
      <c r="H24">
        <v>124.55</v>
      </c>
      <c r="I24">
        <f t="shared" ref="I24:I26" si="90">H24*1.1</f>
        <v>137.005</v>
      </c>
      <c r="J24">
        <f t="shared" ref="J24:J26" si="91">I24/1.2</f>
        <v>114.17083333333333</v>
      </c>
      <c r="K24">
        <f t="shared" ref="K24:K27" si="92">J24*1.2</f>
        <v>137.005</v>
      </c>
    </row>
    <row r="25">
      <c r="B25" s="122" t="s">
        <v>265</v>
      </c>
      <c r="C25" s="123">
        <v>41000</v>
      </c>
      <c r="D25" s="124"/>
      <c r="E25" s="18"/>
      <c r="H25">
        <v>198.18000000000001</v>
      </c>
      <c r="I25">
        <f t="shared" si="90"/>
        <v>217.99800000000002</v>
      </c>
      <c r="J25">
        <f t="shared" si="91"/>
        <v>181.66500000000002</v>
      </c>
      <c r="K25">
        <f t="shared" si="92"/>
        <v>217.99800000000002</v>
      </c>
    </row>
    <row r="26">
      <c r="B26" s="11" t="s">
        <v>266</v>
      </c>
      <c r="C26" s="125">
        <f>(C25-C30)*D26</f>
        <v>11562</v>
      </c>
      <c r="D26" s="126">
        <v>0.29999999999999999</v>
      </c>
      <c r="H26">
        <v>160.91</v>
      </c>
      <c r="I26">
        <f t="shared" si="90"/>
        <v>177.001</v>
      </c>
      <c r="J26">
        <f t="shared" si="91"/>
        <v>147.50083333333333</v>
      </c>
      <c r="K26">
        <f t="shared" si="92"/>
        <v>177.001</v>
      </c>
    </row>
    <row r="27">
      <c r="B27" s="11" t="s">
        <v>267</v>
      </c>
      <c r="C27" s="125">
        <f>(C25-C30)*D27</f>
        <v>16186.799999999999</v>
      </c>
      <c r="D27" s="127">
        <v>0.41999999999999998</v>
      </c>
      <c r="H27">
        <f>SUM(H24:H26)</f>
        <v>483.63999999999999</v>
      </c>
      <c r="I27">
        <f>SUM(I24:I26)</f>
        <v>532.00400000000002</v>
      </c>
      <c r="J27">
        <f>SUM(J24:J26)</f>
        <v>443.3366666666667</v>
      </c>
      <c r="K27">
        <f t="shared" si="92"/>
        <v>532.00400000000002</v>
      </c>
    </row>
    <row r="28" ht="14.25">
      <c r="B28" s="11" t="s">
        <v>268</v>
      </c>
      <c r="C28" s="128">
        <f>(C25-C30)*D28*0.7</f>
        <v>7553.8400000000001</v>
      </c>
      <c r="D28" s="127">
        <v>0.28000000000000003</v>
      </c>
    </row>
    <row r="29" ht="14.25">
      <c r="B29" s="11"/>
      <c r="C29" s="129"/>
      <c r="D29" s="33"/>
      <c r="E29" s="18"/>
    </row>
    <row r="30" ht="14.25">
      <c r="B30" s="11" t="s">
        <v>270</v>
      </c>
      <c r="C30" s="130">
        <f>0.15*(D28+D27-D26)*C25</f>
        <v>2459.9999999999995</v>
      </c>
      <c r="D30" s="28"/>
      <c r="E30" t="s">
        <v>266</v>
      </c>
      <c r="F30" s="120">
        <v>0.40000000000000002</v>
      </c>
      <c r="G30" s="126">
        <v>0.29999999999999999</v>
      </c>
      <c r="H30" s="126">
        <v>0.33500000000000002</v>
      </c>
      <c r="I30" s="126">
        <v>0.34999999999999998</v>
      </c>
      <c r="J30" s="126">
        <v>0.29999999999999999</v>
      </c>
      <c r="M30">
        <v>6000</v>
      </c>
    </row>
    <row r="31" ht="14.25">
      <c r="B31" s="11" t="s">
        <v>271</v>
      </c>
      <c r="C31" s="131">
        <f>D28*(C25-C30)*0.3</f>
        <v>3237.3600000000001</v>
      </c>
      <c r="D31" s="33"/>
      <c r="E31" t="s">
        <v>267</v>
      </c>
      <c r="F31" s="136">
        <v>0.59999999999999998</v>
      </c>
      <c r="G31" s="127">
        <v>0.69999999999999996</v>
      </c>
      <c r="H31" s="127">
        <v>0.33500000000000002</v>
      </c>
      <c r="I31" s="127">
        <v>0.65000000000000002</v>
      </c>
      <c r="J31" s="127">
        <v>0.41999999999999998</v>
      </c>
      <c r="N31">
        <f>270*3.5*52</f>
        <v>49140</v>
      </c>
    </row>
    <row r="32" ht="14.25">
      <c r="E32" t="s">
        <v>268</v>
      </c>
      <c r="F32" s="136">
        <v>0</v>
      </c>
      <c r="G32" s="127">
        <v>0</v>
      </c>
      <c r="H32" s="127">
        <v>0.33000000000000002</v>
      </c>
      <c r="I32" s="127">
        <v>0</v>
      </c>
      <c r="J32" s="127">
        <v>0.28000000000000003</v>
      </c>
      <c r="N32">
        <f>N31-M30</f>
        <v>43140</v>
      </c>
    </row>
    <row r="33" ht="14.25">
      <c r="E33" t="s">
        <v>268</v>
      </c>
      <c r="F33" s="204">
        <v>0</v>
      </c>
      <c r="G33" s="204">
        <v>0</v>
      </c>
      <c r="H33" s="204">
        <v>7684</v>
      </c>
      <c r="I33" s="204">
        <v>0</v>
      </c>
      <c r="J33" s="204">
        <v>7553</v>
      </c>
      <c r="N33">
        <f>N32/1.42</f>
        <v>30380.281690140848</v>
      </c>
    </row>
    <row r="34" ht="14.25">
      <c r="E34" t="s">
        <v>267</v>
      </c>
      <c r="F34" s="204">
        <v>20370</v>
      </c>
      <c r="G34" s="204">
        <v>23030</v>
      </c>
      <c r="H34" s="204">
        <v>11144</v>
      </c>
      <c r="I34" s="204">
        <v>21726</v>
      </c>
      <c r="J34" s="204">
        <v>16186</v>
      </c>
      <c r="N34">
        <f>33000*1.42</f>
        <v>46860</v>
      </c>
    </row>
    <row r="35" ht="14.25">
      <c r="E35" t="s">
        <v>1097</v>
      </c>
      <c r="F35">
        <f>F34/2</f>
        <v>10185</v>
      </c>
      <c r="G35">
        <f>G34/2</f>
        <v>11515</v>
      </c>
      <c r="H35">
        <f>H34/2</f>
        <v>5572</v>
      </c>
      <c r="I35">
        <f>I34/2</f>
        <v>10863</v>
      </c>
      <c r="J35">
        <f>J34/2</f>
        <v>8093</v>
      </c>
    </row>
    <row r="36" ht="14.25">
      <c r="E36" s="11" t="s">
        <v>1098</v>
      </c>
      <c r="F36" s="11">
        <f>F34/2-F41</f>
        <v>8669</v>
      </c>
      <c r="G36" s="11">
        <f>G34/2-G41</f>
        <v>9747</v>
      </c>
      <c r="H36" s="11">
        <f>H34/2-H41</f>
        <v>4726</v>
      </c>
      <c r="I36" s="11">
        <f>I34/2-I41</f>
        <v>9221</v>
      </c>
      <c r="J36" s="11">
        <f>J34/2-J41</f>
        <v>6893</v>
      </c>
    </row>
    <row r="37" ht="14.25">
      <c r="E37" s="11" t="s">
        <v>1099</v>
      </c>
      <c r="F37" s="205">
        <v>13580</v>
      </c>
      <c r="G37" s="205">
        <v>9870</v>
      </c>
      <c r="H37" s="205">
        <v>11144</v>
      </c>
      <c r="I37" s="205">
        <v>11698</v>
      </c>
      <c r="J37" s="204">
        <v>11562</v>
      </c>
    </row>
    <row r="38" ht="14.25">
      <c r="B38" s="206"/>
      <c r="E38" t="s">
        <v>270</v>
      </c>
      <c r="F38" s="204">
        <v>1050</v>
      </c>
      <c r="G38" s="204">
        <v>2100</v>
      </c>
      <c r="H38" s="204">
        <v>1732</v>
      </c>
      <c r="I38" s="204">
        <v>1575</v>
      </c>
      <c r="J38" s="204">
        <v>2460</v>
      </c>
    </row>
    <row r="39" ht="14.25">
      <c r="E39" t="s">
        <v>271</v>
      </c>
      <c r="F39" s="204">
        <v>0</v>
      </c>
      <c r="G39" s="204">
        <v>0</v>
      </c>
      <c r="H39" s="204">
        <v>3293</v>
      </c>
      <c r="I39" s="204">
        <v>0</v>
      </c>
      <c r="J39" s="204">
        <v>3237</v>
      </c>
    </row>
    <row r="40" ht="14.25">
      <c r="E40" t="s">
        <v>1100</v>
      </c>
      <c r="F40">
        <f>0.3*F35</f>
        <v>3055.5</v>
      </c>
      <c r="G40">
        <f>0.3*G35</f>
        <v>3454.5</v>
      </c>
      <c r="H40">
        <f>0.3*H35</f>
        <v>1671.5999999999999</v>
      </c>
      <c r="I40">
        <f>0.3*I35</f>
        <v>3258.9000000000001</v>
      </c>
      <c r="J40">
        <f>0.3*J35</f>
        <v>2427.9000000000001</v>
      </c>
    </row>
    <row r="41" ht="14.25">
      <c r="E41" t="s">
        <v>1101</v>
      </c>
      <c r="F41" s="204">
        <v>1516</v>
      </c>
      <c r="G41" s="204">
        <v>1768</v>
      </c>
      <c r="H41" s="204">
        <v>846</v>
      </c>
      <c r="I41" s="204">
        <v>1642</v>
      </c>
      <c r="J41" s="204">
        <v>1200</v>
      </c>
    </row>
    <row r="42" ht="14.25">
      <c r="E42" s="11" t="s">
        <v>1102</v>
      </c>
      <c r="F42" s="11">
        <f>(F35-F40+F33)/2</f>
        <v>3564.75</v>
      </c>
      <c r="G42" s="11">
        <f>(G35-G40+G33)/2</f>
        <v>4030.25</v>
      </c>
      <c r="H42" s="11">
        <f>(H35-H40+H33)/2</f>
        <v>5792.1999999999998</v>
      </c>
      <c r="I42" s="11">
        <f>(I35-I40+I33)/2</f>
        <v>3802.0500000000002</v>
      </c>
      <c r="J42" s="11">
        <f>(J35-J40+J33)/2</f>
        <v>6609.0500000000002</v>
      </c>
    </row>
    <row r="43" ht="14.25">
      <c r="E43" s="11" t="s">
        <v>1103</v>
      </c>
      <c r="F43" s="11">
        <f>(F35-F40+F33)/2</f>
        <v>3564.75</v>
      </c>
      <c r="G43" s="11">
        <f>(G35-G40+G33)/2</f>
        <v>4030.25</v>
      </c>
      <c r="H43" s="11">
        <f>(H35-H40+H33)/2</f>
        <v>5792.1999999999998</v>
      </c>
      <c r="I43" s="11">
        <f>(I35-I40+I33)/2</f>
        <v>3802.0500000000002</v>
      </c>
      <c r="J43" s="11">
        <f>(J35-J40+J33)/2</f>
        <v>6609.0500000000002</v>
      </c>
    </row>
    <row r="44" ht="14.25">
      <c r="E44" t="s">
        <v>1104</v>
      </c>
      <c r="F44">
        <f>F41+F40+F39+F38</f>
        <v>5621.5</v>
      </c>
      <c r="G44">
        <f>G41+G40+G39+G38</f>
        <v>7322.5</v>
      </c>
      <c r="H44">
        <f>H41+H40+H39+H38</f>
        <v>7542.6000000000004</v>
      </c>
      <c r="I44">
        <f>I41+I40+I39+I38</f>
        <v>6475.8999999999996</v>
      </c>
      <c r="J44">
        <f>J41+J40+J39+J38</f>
        <v>9324.8999999999996</v>
      </c>
    </row>
    <row r="45" ht="14.25"/>
    <row r="46" ht="14.25">
      <c r="F46">
        <f>F44+F43+F42+F37+F36</f>
        <v>35000</v>
      </c>
      <c r="G46">
        <f>G44+G43+G42+G37+G36</f>
        <v>35000</v>
      </c>
      <c r="H46">
        <f>H44+H43+H42+H37+H36</f>
        <v>34997</v>
      </c>
      <c r="I46">
        <f>I44+I43+I42+I37+I36</f>
        <v>34999</v>
      </c>
      <c r="J46">
        <f>J44+J43+J42+J37+J36</f>
        <v>40998</v>
      </c>
    </row>
    <row r="48" ht="14.25">
      <c r="E48" t="s">
        <v>1099</v>
      </c>
      <c r="F48">
        <f>F37</f>
        <v>13580</v>
      </c>
      <c r="G48">
        <f>G37</f>
        <v>9870</v>
      </c>
      <c r="H48">
        <f>H37</f>
        <v>11144</v>
      </c>
      <c r="I48">
        <f>I37</f>
        <v>11698</v>
      </c>
      <c r="J48">
        <f>J37</f>
        <v>11562</v>
      </c>
    </row>
    <row r="49" ht="14.25">
      <c r="E49" t="s">
        <v>1105</v>
      </c>
      <c r="F49">
        <f>F43+F42+F36</f>
        <v>15798.5</v>
      </c>
      <c r="G49">
        <f>G43+G42+G36</f>
        <v>17807.5</v>
      </c>
      <c r="H49">
        <f>H43+H42+H36</f>
        <v>16310.4</v>
      </c>
      <c r="I49">
        <f>I43+I42+I36</f>
        <v>16825.099999999999</v>
      </c>
      <c r="J49">
        <f>J43+J42+J36</f>
        <v>20111.099999999999</v>
      </c>
    </row>
    <row r="50" ht="14.25">
      <c r="E50" t="s">
        <v>1104</v>
      </c>
      <c r="F50">
        <f>F44</f>
        <v>5621.5</v>
      </c>
      <c r="G50">
        <f>G44</f>
        <v>7322.5</v>
      </c>
      <c r="H50">
        <f>H44</f>
        <v>7542.6000000000004</v>
      </c>
      <c r="I50">
        <f>I44</f>
        <v>6475.8999999999996</v>
      </c>
      <c r="J50">
        <f>J44</f>
        <v>9324.8999999999996</v>
      </c>
    </row>
    <row r="51" ht="14.25">
      <c r="E51" s="11"/>
      <c r="F51" s="11"/>
      <c r="G51" s="11"/>
      <c r="H51" s="11"/>
      <c r="I51" s="11"/>
      <c r="J51" s="11"/>
    </row>
    <row r="52" ht="14.25">
      <c r="N52">
        <v>238000</v>
      </c>
    </row>
    <row r="53" ht="14.25">
      <c r="G53" s="18" t="s">
        <v>1099</v>
      </c>
      <c r="H53" s="33">
        <v>11562</v>
      </c>
      <c r="N53">
        <v>100000</v>
      </c>
      <c r="O53" t="s">
        <v>1106</v>
      </c>
      <c r="P53">
        <f>N53/N52</f>
        <v>0.42016806722689076</v>
      </c>
    </row>
    <row r="54" ht="14.25">
      <c r="G54" s="18" t="s">
        <v>1107</v>
      </c>
      <c r="H54" s="33">
        <v>20111</v>
      </c>
      <c r="N54">
        <v>138000</v>
      </c>
      <c r="P54">
        <f>N54/N52</f>
        <v>0.57983193277310929</v>
      </c>
    </row>
    <row r="55" ht="14.25">
      <c r="G55" s="18" t="s">
        <v>1104</v>
      </c>
      <c r="H55" s="33">
        <v>9324</v>
      </c>
    </row>
    <row r="65" ht="14.25">
      <c r="G65">
        <f>18*4</f>
        <v>72</v>
      </c>
      <c r="H65">
        <v>500</v>
      </c>
      <c r="I65">
        <f t="shared" ref="I65:I67" si="93">H65*G65</f>
        <v>36000</v>
      </c>
    </row>
    <row r="66" ht="14.25">
      <c r="G66">
        <f>G65</f>
        <v>72</v>
      </c>
      <c r="H66">
        <v>400</v>
      </c>
      <c r="I66">
        <f t="shared" si="93"/>
        <v>28800</v>
      </c>
    </row>
    <row r="67" ht="14.25">
      <c r="G67">
        <v>16</v>
      </c>
      <c r="H67">
        <v>650</v>
      </c>
      <c r="I67">
        <f t="shared" si="93"/>
        <v>10400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alison-scopa</cp:lastModifiedBy>
  <cp:revision>1</cp:revision>
  <dcterms:modified xsi:type="dcterms:W3CDTF">2025-03-21T15:05:17Z</dcterms:modified>
</cp:coreProperties>
</file>